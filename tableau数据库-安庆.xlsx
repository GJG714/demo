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5060" tabRatio="291"/>
  </bookViews>
  <sheets>
    <sheet name="Sheet1" sheetId="1" r:id="rId1"/>
  </sheets>
  <definedNames>
    <definedName name="_xlnm._FilterDatabase" localSheetId="0" hidden="1">Sheet1!$A$1:$AA$91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<sst xmlns="http://schemas.openxmlformats.org/spreadsheetml/2006/main" count="1246" uniqueCount="620">
  <si>
    <t>序号</t>
  </si>
  <si>
    <t>中标候选人公示日期</t>
  </si>
  <si>
    <t>专业分类</t>
  </si>
  <si>
    <t>地区</t>
  </si>
  <si>
    <t>项目名称</t>
  </si>
  <si>
    <t>控制价</t>
  </si>
  <si>
    <t>招标人</t>
  </si>
  <si>
    <t>招标代理机构</t>
  </si>
  <si>
    <t>EPC</t>
  </si>
  <si>
    <t>方案打分</t>
  </si>
  <si>
    <t>评标办法</t>
  </si>
  <si>
    <t>投标人数量</t>
  </si>
  <si>
    <t>否决数量</t>
  </si>
  <si>
    <t>中标候选人1</t>
  </si>
  <si>
    <t>中标候选人2</t>
  </si>
  <si>
    <t>中标候选人3</t>
  </si>
  <si>
    <t>中标候选人1报价</t>
  </si>
  <si>
    <t>中标候选人2报价</t>
  </si>
  <si>
    <t>中标候选人3报价</t>
  </si>
  <si>
    <t>中标单位</t>
  </si>
  <si>
    <t>中标价</t>
  </si>
  <si>
    <t>中标价下浮</t>
  </si>
  <si>
    <t>F值</t>
  </si>
  <si>
    <t>C值</t>
  </si>
  <si>
    <t>评标情况一览表</t>
  </si>
  <si>
    <t>招标文件</t>
  </si>
  <si>
    <t>答疑</t>
  </si>
  <si>
    <t>房屋建筑</t>
  </si>
  <si>
    <t>安庆市</t>
  </si>
  <si>
    <t>安庆市宜秀区大龙山镇永安初级中学智能化采购安装项目</t>
  </si>
  <si>
    <t>安庆市中城投资运营有限公司</t>
  </si>
  <si>
    <t>安庆市鑫皖宜项目咨询有限公司</t>
  </si>
  <si>
    <t>施工总承包</t>
  </si>
  <si>
    <t>是</t>
  </si>
  <si>
    <t>综合评分法</t>
  </si>
  <si>
    <t>1.安庆市宜秀区大龙山镇永安初级中学智能化采购安装项目(1).pdf</t>
  </si>
  <si>
    <t>石关国家体育训练基地电力扩容改造工程（二期）</t>
  </si>
  <si>
    <t>安徽省体育局训练基地管理中心</t>
  </si>
  <si>
    <t>安徽省招标集团股份有限公司</t>
  </si>
  <si>
    <t>否</t>
  </si>
  <si>
    <t>最低投标价法Ⅱ</t>
  </si>
  <si>
    <t>2.石关国家体育训练基地电力扩容改造工程（二期）.pdf</t>
  </si>
  <si>
    <t>安庆市第一人民医院孝肃路院区5号楼整体维修工程</t>
  </si>
  <si>
    <t>安庆市第一人民医院</t>
  </si>
  <si>
    <t>安庆市皖宜项目咨询管理有限公司</t>
  </si>
  <si>
    <t>3.安庆市第一人民医院孝肃路院区5号楼整体维修工程.pdf</t>
  </si>
  <si>
    <t>安庆北部新城YX09-0106B地块还建房项目10kV配电工程</t>
  </si>
  <si>
    <t>安徽泓文项目管理有限公司</t>
  </si>
  <si>
    <t>4.安庆北部新城YX09-0106B地块还建房项目10kV配电工程.pdf</t>
  </si>
  <si>
    <t>中国电信股份有限公司安庆分公司太湖通信综合楼</t>
  </si>
  <si>
    <t>中国电信股份有限公司安庆分公司</t>
  </si>
  <si>
    <t>5.中国电信股份有限公司安庆分公司太湖通信综合楼.pdf</t>
  </si>
  <si>
    <t>安庆市大观现代物流园皖河片区建设一期项目EPC</t>
  </si>
  <si>
    <t>安庆市皖河控股有限公司</t>
  </si>
  <si>
    <t>综合评估法</t>
  </si>
  <si>
    <t>6.安庆市大观现代物流园皖河片区建设一期项目EPC.pdf</t>
  </si>
  <si>
    <t xml:space="preserve">上河院项目（安庆市DQ01单元2301B地块）施工总承包工程  </t>
  </si>
  <si>
    <t>安庆市通达置业有限公司</t>
  </si>
  <si>
    <t>海建工二建集团有限公司、安徽省塬鑫建设工程有限公司（联合体）</t>
  </si>
  <si>
    <t>重庆建工第三建设有限责任公司、安徽隆旺达建设集团有限公司（联合体）</t>
  </si>
  <si>
    <t>河南省第一建筑工程集团有限责任公司、安徽靖定建设工程有限公司（联合体）</t>
  </si>
  <si>
    <t>上海建工二建集团有限公司、安徽省塬鑫建设工程有限公司（联合体）</t>
  </si>
  <si>
    <t>7.上河院项目（安庆市DQ01单元2301B地块）施工总承包工程.xls</t>
  </si>
  <si>
    <t>7.上河院项目（安庆市DQ01单元2301B地块）施工总承包工程.pdf</t>
  </si>
  <si>
    <t>安庆北部新城产业厂房项目——年产6GW光伏N型异质结电池片及6GW光伏组件生产基地厂房建设项目10kV配电EPC总承包</t>
  </si>
  <si>
    <t>8.安庆北部新城产业厂房项目——年产6GW光伏N型异质结电池片及6GW光伏组件生产基地厂房建设项目10kV配电EPC总承包.pdf</t>
  </si>
  <si>
    <t>安庆中登新能源开闭所配电EPC项目</t>
  </si>
  <si>
    <t>9.安庆中登新能源开闭所配电EPC项目.pdf</t>
  </si>
  <si>
    <t>安庆综合保税区二期厂房改造工程-雨棚安装工程</t>
  </si>
  <si>
    <t>安庆盛唐投资控股集团有限公司</t>
  </si>
  <si>
    <t xml:space="preserve">安庆皖宜高科工程咨询有限公司  </t>
  </si>
  <si>
    <t>安徽新万里建设集团有限公司</t>
  </si>
  <si>
    <t>合肥宏峰建设工程有限公司</t>
  </si>
  <si>
    <t>安徽江塘建设工程有限公司</t>
  </si>
  <si>
    <t>10.安庆综合保税区二期厂房改造工程-雨棚安装工程.xls</t>
  </si>
  <si>
    <t>10.安庆综合保税区二期厂房改造工程-雨棚安装工程.pdf</t>
  </si>
  <si>
    <t>上河院项目（安庆市DQ01单元2301B地块）土石方工程</t>
  </si>
  <si>
    <t>最低投标价法I</t>
  </si>
  <si>
    <t>安徽博中市政工程有限公司</t>
  </si>
  <si>
    <t>安徽腾杰建工集团有限公司</t>
  </si>
  <si>
    <t>安徽振腾建设有限公司</t>
  </si>
  <si>
    <t>11.上河院项目（安庆市DQ01单元2301B地块）土石方工程.xls</t>
  </si>
  <si>
    <t>11.上河院项目（安庆市DQ01单元2301B地块）土石方工程.pdf</t>
  </si>
  <si>
    <t>妇幼一期智能化工程项目招标公告</t>
  </si>
  <si>
    <t>安庆市第二人民医院</t>
  </si>
  <si>
    <t>羽城建设集团有限公司</t>
  </si>
  <si>
    <t>中锐国际建设集团有限公司</t>
  </si>
  <si>
    <t>百鲸建设集团有限公司</t>
  </si>
  <si>
    <t>12.妇幼一期智能化工程项目招标公告.xls</t>
  </si>
  <si>
    <t>12.妇幼一期智能化工程项目招标公告.pdf</t>
  </si>
  <si>
    <t>安庆市特殊教育学校扩容EPC项目</t>
  </si>
  <si>
    <t>安庆市特殊教育学校</t>
  </si>
  <si>
    <t>深圳市华南装饰集团股份有限公司
上海中建建筑设计院有限公司（联合体）</t>
  </si>
  <si>
    <t>安智建筑集团有限公司
浙江恒欣设计集团股份有限公司（联合体）</t>
  </si>
  <si>
    <t>广东世纪达建设集团有限公司
江苏省建筑设计研究院股份有限公司（联合体）</t>
  </si>
  <si>
    <t>安智建筑集团有限公司
（联合体成员：浙江恒欣设计集团股份有限公司）</t>
  </si>
  <si>
    <t>13.安庆市特殊教育学校扩容EPC项目.docx</t>
  </si>
  <si>
    <t>13.安庆市特殊教育学校扩容EPC项目.pdf</t>
  </si>
  <si>
    <t>年产20发可回收液体火箭制造厂房建设项目EPC总承包</t>
  </si>
  <si>
    <t>安庆经开区振兴发展有限公司</t>
  </si>
  <si>
    <t>安庆皖江高科建筑安装工程有限公司、中衡设计集团股份有限公司 （联合体）</t>
  </si>
  <si>
    <t>中建安装集团有限公司</t>
  </si>
  <si>
    <t>安阳建工(集团)有限责任公司、苏州规划设计研究院股份有限公司（联合体）</t>
  </si>
  <si>
    <t>14.年产20发可回收液体火箭制造厂房建设项目EPC总承包.xls</t>
  </si>
  <si>
    <t>14.年产20发可回收液体火箭制造厂房建设项目EPC总承包.pdf</t>
  </si>
  <si>
    <t>宜秀开发区A-5地块原利欧公司新建厂房及改造升级项目（安庆市宜秀经开区智能制造产业园及配套基础设施建设项目）</t>
  </si>
  <si>
    <t>安庆启越建设发展有限公司</t>
  </si>
  <si>
    <t>福建省禹澄建设工程有限公司</t>
  </si>
  <si>
    <t>安庆市白泽湖建筑安装工程有限责任公司</t>
  </si>
  <si>
    <t>国基建设集团有限公司</t>
  </si>
  <si>
    <t>15.宜秀开发区A-5地块原利欧公司新建厂房及改造升级项目（安庆市宜秀经开区智能制造产业园及配套基础设施建设项目）.xls</t>
  </si>
  <si>
    <t>15.宜秀开发区A-5地块原利欧公司新建厂房及改造升级项目（安庆市宜秀经开区智能制造产业园及配套基础设施建设项目）(1).pdf</t>
  </si>
  <si>
    <t>安庆市通盛置业有限公司望湖揽胜小区10kV配电工程（外线部分）</t>
  </si>
  <si>
    <t>安徽正华工程项目管理有限公司</t>
  </si>
  <si>
    <t>合理价格竞争法Ⅱ</t>
  </si>
  <si>
    <t>安徽钜能建设工程有限公司</t>
  </si>
  <si>
    <t>安徽禹升建设工程有限公司</t>
  </si>
  <si>
    <t>涡阳县源峰电力设备安装工程有限公司</t>
  </si>
  <si>
    <t>16.安庆市通盛置业有限公司望湖揽胜小区10kV配电工程（外线部分）.xls</t>
  </si>
  <si>
    <t>16.安庆市通盛置业有限公司望湖揽胜小区10kV配电工程（外线部分）.pdf</t>
  </si>
  <si>
    <t>安庆高新区山口片还建点工程（二期）10kV外电专线工程</t>
  </si>
  <si>
    <t>安庆化工建设投资有限公司</t>
  </si>
  <si>
    <t>安徽利萧建设工程有限公司</t>
  </si>
  <si>
    <t>沈阳中联建设工程有限公司</t>
  </si>
  <si>
    <t>17.安庆高新区山口片还建点工程（二期）10kV外电专线工程.xls</t>
  </si>
  <si>
    <t>17.安庆高新区山口片还建点工程（二期）10kV外电专线工程.pdf</t>
  </si>
  <si>
    <t>原安庆仁创聚源生态环保科技有限公司厂区规划调整及新建研发楼项目</t>
  </si>
  <si>
    <t>安庆依江产业投资有限公司</t>
  </si>
  <si>
    <t>安庆市皖宜达项目咨询有限公司</t>
  </si>
  <si>
    <t>安徽一林建设工程有限公司</t>
  </si>
  <si>
    <t>安徽板正建筑工程有限公司</t>
  </si>
  <si>
    <t>潜山第七建筑工程有限公司</t>
  </si>
  <si>
    <t>18.原安庆仁创聚源生态环保科技有限公司厂区规划调整及新建研发楼项目.xls</t>
  </si>
  <si>
    <t>18.原安庆仁创聚源生态环保科技有限公司厂区规划调整及新建研发楼项目.pdf</t>
  </si>
  <si>
    <t>安庆市滨江新能源材料产业园项目一期二阶段施工总承包工程</t>
  </si>
  <si>
    <t>安庆滨江控股集团有限公司</t>
  </si>
  <si>
    <t>湖南启辉建筑工程有限公司</t>
  </si>
  <si>
    <t>合肥宸源建设工程有限公司</t>
  </si>
  <si>
    <t>安徽水木建工集团有限公司</t>
  </si>
  <si>
    <t>19.安庆市滨江新能源材料产业园项目一期二阶段施工总承包工程.xls</t>
  </si>
  <si>
    <t>19.安庆市滨江新能源材料产业园项目一期二阶段施工总承包工程.pdf</t>
  </si>
  <si>
    <t>宜秀区基础设施补短板建设项目EPC</t>
  </si>
  <si>
    <t>安庆龙科建设发展有限责任公司</t>
  </si>
  <si>
    <t>中国二冶集团有限公司（联合体成员：安徽泽善建设工程有限公司、安徽省天柱山建筑工程有限公司、徽科设计集团有限公司）</t>
  </si>
  <si>
    <t>安徽金煌建设集团有限公司（联合体成员：安徽省珺恺建筑工程有限公司、安徽伍航勘测设计有限公司、泛华建设集团有限公司）</t>
  </si>
  <si>
    <t>安徽宏志建设集团有限公司（联合体成员：合肥高元建设工程有限公司、南京华业建筑设计院有限责任公司、湖北佳境建筑设计有限公司）</t>
  </si>
  <si>
    <t>20.宜秀区基础设施补短板建设项目EPC.xls</t>
  </si>
  <si>
    <t>20.宜秀区基础设施补短板建设项目EPC.pdf</t>
  </si>
  <si>
    <t>妇幼一期建设工程配电项目</t>
  </si>
  <si>
    <t xml:space="preserve">安庆市皖宜项目咨询管理有限公司  </t>
  </si>
  <si>
    <t>誉海建设集团有限公司</t>
  </si>
  <si>
    <t>湖北中瑞琪建设工程有限公司</t>
  </si>
  <si>
    <t>中皖正一建设集团有限公司</t>
  </si>
  <si>
    <t>21.妇幼一期建设工程配电项目.xls</t>
  </si>
  <si>
    <t>21.妇幼一期建设工程配电项目.pdf</t>
  </si>
  <si>
    <t>安徽黄梅戏艺术职业学院实训楼（图书馆）内部配套项目</t>
  </si>
  <si>
    <t>安徽黄梅戏艺术职业学院</t>
  </si>
  <si>
    <t>河南颍淮建工有限公司</t>
  </si>
  <si>
    <t>福建艺景生态建设集团有限公司</t>
  </si>
  <si>
    <t>安徽含章建设工程有限公司</t>
  </si>
  <si>
    <t>22.安徽黄梅戏艺术职业学院实训楼（图书馆）内部配套项目.xls</t>
  </si>
  <si>
    <t>22.安徽黄梅戏艺术职业学院实训楼（图书馆）内部配套项目.pdf</t>
  </si>
  <si>
    <t>安庆市第一人民医院孝肃路院区急诊1-4层、门诊1-3层维修出新工程</t>
  </si>
  <si>
    <t>安徽宏国建设有限公司</t>
  </si>
  <si>
    <t>安徽万励建设有限公司</t>
  </si>
  <si>
    <t>安徽集达广建设工程有限公司</t>
  </si>
  <si>
    <t>23.安庆市第一人民医院孝肃路院区急诊1-4层、门诊1-3层维修出新工程.xls</t>
  </si>
  <si>
    <t>23.安庆市第一人民医院孝肃路院区急诊1-4层、门诊1-3层维修出新工程.pdf</t>
  </si>
  <si>
    <t>安庆奇轩动力科技有限公司G3J10装配线改造兼容H4J15项目</t>
  </si>
  <si>
    <t>安庆奇轩动力科技有限公司</t>
  </si>
  <si>
    <t>上海天永智能装备股份有限公司</t>
  </si>
  <si>
    <t>苏州曼威工业自动化有限公司</t>
  </si>
  <si>
    <t>乾润智能装备（浙江）有限公司</t>
  </si>
  <si>
    <t>24.安庆奇轩动力科技有限公司G3J10装配线改造兼容H4J15项目.xls</t>
  </si>
  <si>
    <t>24.安庆奇轩动力科技有限公司G3J10装配线改造兼容H4J15项目.pdf</t>
  </si>
  <si>
    <t>安庆市汽车能源设施城市功能品质提升项目-白水湖加油站建设项目</t>
  </si>
  <si>
    <t>安庆盛唐实业有限公司</t>
  </si>
  <si>
    <t>安庆皖宜高科工程咨询有限公司</t>
  </si>
  <si>
    <t>安徽君澜建工集团有限公司</t>
  </si>
  <si>
    <t>河南十地建筑工程有限公司</t>
  </si>
  <si>
    <t>安徽宝峰建筑工程有限公司</t>
  </si>
  <si>
    <t>25.安庆市汽车能源设施城市功能品质提升项目-白水湖加油站建设项目.xls</t>
  </si>
  <si>
    <t>25.0安庆市汽车能源设施城市功能品质提升项目-白水湖加油站建设项目.pdf</t>
  </si>
  <si>
    <t>安庆市迎江区人民路299号旧房装修改造项目EPC</t>
  </si>
  <si>
    <t>安庆星之光电影放映有限公司</t>
  </si>
  <si>
    <t>安徽中思建设工程有限公司、中科华创国际工程设计顾问集团有限公司（联合体）</t>
  </si>
  <si>
    <t>黄山永筑建设工程有限公司、中盛弘宇建设科技有限公司（联合体）</t>
  </si>
  <si>
    <t>山西龙城建设集团有限责任公司、玖度工程设计有限公司（联合体）</t>
  </si>
  <si>
    <t>26.安庆市迎江区人民路299号旧房装修改造项目EPC.xls</t>
  </si>
  <si>
    <t>26.安庆市迎江区人民路299号旧房装修改造项目EPC.pdf</t>
  </si>
  <si>
    <t>安庆市文创家园（C-4公租房）小区改造提升项目</t>
  </si>
  <si>
    <t>安庆市文苑创业投资有限公司</t>
  </si>
  <si>
    <t>安徽仁源工程咨询有限公司</t>
  </si>
  <si>
    <t>安徽省博青建筑工程有限公司</t>
  </si>
  <si>
    <t>安徽睿焓建设工程有限公司</t>
  </si>
  <si>
    <t>安徽昌盛翔合建设有限公司</t>
  </si>
  <si>
    <t>27.安庆市文创家园（C-4公租房.xls</t>
  </si>
  <si>
    <t>27.安庆市文创家园（C-4公租房.pdf</t>
  </si>
  <si>
    <t>安庆迎江经开区高松柘山片区农机产业园项目</t>
  </si>
  <si>
    <t>安庆迎创产业园发展有限公司</t>
  </si>
  <si>
    <t>安徽荣乾建设工程有限公司、江西建工机械施工有限责任公司（联合体）</t>
  </si>
  <si>
    <t>安徽祥晟建筑工程有限公司、中诚投建工集团有限公司（联合体）</t>
  </si>
  <si>
    <t>大荣建设集团有限公司</t>
  </si>
  <si>
    <t>28.安庆迎江经开区高松柘山片区农机产业园项目.xls</t>
  </si>
  <si>
    <t>28.安庆迎江经开区高松柘山片区农机产业园项目.pdf</t>
  </si>
  <si>
    <t>神州种谷（种业）科技园工程项目幕墙工程施工</t>
  </si>
  <si>
    <t>安庆市滨江城市建设发展有限公司</t>
  </si>
  <si>
    <t>安徽省合庐城市建设有限公司</t>
  </si>
  <si>
    <t>安徽腾境建设集团有限公司</t>
  </si>
  <si>
    <t>安徽合一城乡建设有限公司</t>
  </si>
  <si>
    <t>29.神州种谷（种业）科技园工程项目幕墙工程施工.xls</t>
  </si>
  <si>
    <t>29.神州种谷（种业）科技园工程项目幕墙工程施工.pdf</t>
  </si>
  <si>
    <t>安庆市宜秀区大桥中心学校圣埠小学迁址新建（一期）项目施工</t>
  </si>
  <si>
    <t>安庆市通盛置业有限公司</t>
  </si>
  <si>
    <t>安庆市皖宜项目咨询有限公司</t>
  </si>
  <si>
    <t>安徽瑞尚建设工程有限公司</t>
  </si>
  <si>
    <t>安徽恒地建筑工程有限公司</t>
  </si>
  <si>
    <t>安徽舒潜建设工程有限公司</t>
  </si>
  <si>
    <t>30.安庆市宜秀区大桥中心学校圣埠小学迁址新建（一期）项目施工.xls</t>
  </si>
  <si>
    <t>30.安庆市宜秀区大桥中心学校圣埠小学迁址新建（一期）项目施工.pdf</t>
  </si>
  <si>
    <t>安庆经开区还建房小区2024年房屋渗水维修改造项目</t>
  </si>
  <si>
    <t>安庆经济技术开发区财政投资建设工程管理中心</t>
  </si>
  <si>
    <t>安徽利达市政工程有限公司</t>
  </si>
  <si>
    <t>安徽鼎誉建筑工程有限公司</t>
  </si>
  <si>
    <t>安徽江泽建设有限公司</t>
  </si>
  <si>
    <t>31.安庆经开区还建房小区2024年房屋渗水维修改造项目.xls</t>
  </si>
  <si>
    <t>31.安庆经开区还建房小区2024年房屋渗水维修改造项目.pdf</t>
  </si>
  <si>
    <t xml:space="preserve">原活塞环厂内民国建筑改造提升项目（一期）  </t>
  </si>
  <si>
    <t>安庆市文化旅游产业发展集团有限公司</t>
  </si>
  <si>
    <r>
      <rPr>
        <sz val="11"/>
        <color theme="1"/>
        <rFont val="宋体"/>
        <charset val="134"/>
        <scheme val="minor"/>
      </rPr>
      <t>安庆市皖宜项目咨询管理有限公司</t>
    </r>
    <r>
      <rPr>
        <sz val="12"/>
        <color rgb="FF333333"/>
        <rFont val="宋体"/>
        <charset val="134"/>
      </rPr>
      <t> </t>
    </r>
  </si>
  <si>
    <t>岳鸿建设发展有限公司</t>
  </si>
  <si>
    <t>黑龙江牡安建设集团有限公司</t>
  </si>
  <si>
    <t>大秦建设集团有限公司</t>
  </si>
  <si>
    <t>32.原活塞环厂内民国建筑改造提升项目（一期）.xls</t>
  </si>
  <si>
    <t>32.原活塞环厂内民国建筑改造提升项目（一期）.pdf</t>
  </si>
  <si>
    <t>安庆圆梦新区人才之家项目（一期）集中供热 EPC+O 项目</t>
  </si>
  <si>
    <t>安庆皖江高科技投资发展有限公司</t>
  </si>
  <si>
    <t>EPC+O</t>
  </si>
  <si>
    <t>安庆皖江港华燃气有限公司、安庆市宜港公用工程有限公司、南京市燃气工程设计院有限公司（联合体）</t>
  </si>
  <si>
    <t>庆市春知冷暖设备工程有限公司、宿迁耀城建设工程有限公司、中机国际工程设计研究院有限责任公司（联合体）</t>
  </si>
  <si>
    <t>江苏金卓建设工程有限公司、安徽艾欧环境工程有限公司、 华润（南京）市政设计有限公司 （联合体）</t>
  </si>
  <si>
    <t>33.安庆圆梦新区人才之家项目（一期）集中供热 EPC+O 项目.xls</t>
  </si>
  <si>
    <t>33.安庆圆梦新区人才之家项目（一期）集中供热 EPC+O 项目.pdf</t>
  </si>
  <si>
    <t>安庆经开区产业基础设施提升项目七标段总承包工程</t>
  </si>
  <si>
    <t>安庆新能源投资发展有限公司</t>
  </si>
  <si>
    <t>安徽永驻建设工程有限公司</t>
  </si>
  <si>
    <t>安徽斌杰建筑工程有限公司</t>
  </si>
  <si>
    <t>马鞍山市天歆建筑工程有限公司</t>
  </si>
  <si>
    <t>34.安庆经开区产业基础设施提升项目七标段总承包工程.xls</t>
  </si>
  <si>
    <t>34.安庆经开区产业基础设施提升项目七标段总承包工程.pdf</t>
  </si>
  <si>
    <t>安庆高铁新区高光谱卫星数据中心及卫星制造产线项目工业厂房-1#厂房</t>
  </si>
  <si>
    <t>安徽旭正建设有限公司</t>
  </si>
  <si>
    <t>安徽硕赞建设工程有限公司</t>
  </si>
  <si>
    <t>河南汇亿建筑工程有限公司</t>
  </si>
  <si>
    <t>35.安庆高铁新区高光谱卫星数据中心及卫星制造产线项目工业厂房-1#厂房.xls</t>
  </si>
  <si>
    <t>35.安庆高铁新区高光谱卫星数据中心及卫星制造产线项目工业厂房-1#厂房.pdf</t>
  </si>
  <si>
    <t>安庆经开区智能高端装备制造产业园（一期）建设项目</t>
  </si>
  <si>
    <t>安徽路拓建设工程有限公司、广西建工集团第四建筑工程有限责任公司（联合体）</t>
  </si>
  <si>
    <t>安徽天鑫福临建筑工程有限公司、河北天森建工集团有限公司（联合体）</t>
  </si>
  <si>
    <t>安徽金鹏建设集团股份有限公司</t>
  </si>
  <si>
    <t>36.安庆经开区智能高端装备制造产业园（一期）建设项目.xls</t>
  </si>
  <si>
    <t>36.安庆经开区智能高端装备制造产业园（一期）建设项目.pdf</t>
  </si>
  <si>
    <t>望湖揽胜项目一期供水加压工程设备采购及安装</t>
  </si>
  <si>
    <t>安徽恒水公用工程集团有限公司</t>
  </si>
  <si>
    <t>安徽创立建设工程有限公司</t>
  </si>
  <si>
    <t>江苏通用环保集团有限公司</t>
  </si>
  <si>
    <t>37.望湖揽胜项目一期供水加压工程设备采购及安装(1).xls</t>
  </si>
  <si>
    <t>37.望湖揽胜项目一期供水加压工程设备采购及安装(1).pdf</t>
  </si>
  <si>
    <t>安庆奇轩动力科技有限公司发动机缸体和缸盖中间、最终清洗机新建项目（二次）</t>
  </si>
  <si>
    <t>无锡帝凡精工机械有限公司</t>
  </si>
  <si>
    <t>丫肯（江苏）实业发展有限公司</t>
  </si>
  <si>
    <t>大连智云工艺装备有限公司</t>
  </si>
  <si>
    <t>38.安庆奇轩动力科技有限公司发动机缸体和缸盖中间、最终清洗机新建项目（二次）.xls</t>
  </si>
  <si>
    <t>38.安庆奇轩动力科技有限公司发动机缸体和缸盖中间、最终清洗机新建项目（二次）.pdf</t>
  </si>
  <si>
    <t>安庆双生未来科技城人才公寓项目</t>
  </si>
  <si>
    <t>安徽双生谷产业投资有限公司</t>
  </si>
  <si>
    <t>安庆市双宜项目咨询有限公司</t>
  </si>
  <si>
    <t>黑龙江省三建建筑工程有限责任公司、安徽力航建设工程有限公司（联合体）</t>
  </si>
  <si>
    <t>石家庄一建建设集团有限公司</t>
  </si>
  <si>
    <t>中安华力建设集团有限公司、安徽居安城市建设有限公司（联合体）</t>
  </si>
  <si>
    <t>39.安庆双生未来科技城人才公寓项目.xls</t>
  </si>
  <si>
    <t>39.安庆双生未来科技城人才公寓项目.pdf</t>
  </si>
  <si>
    <t>望湖揽胜项目一期公共部位装饰装修工程</t>
  </si>
  <si>
    <t>安徽梅龙建设集团有限公司</t>
  </si>
  <si>
    <t>古南岳控股有限公司</t>
  </si>
  <si>
    <t>安徽轻舟建设工程有限公司</t>
  </si>
  <si>
    <t>40.望湖揽胜项目一期公共部位装饰装修工程.xls</t>
  </si>
  <si>
    <t>40.望湖揽胜项目一期公共部位装饰装修工程.pdf</t>
  </si>
  <si>
    <t>岳西县三级物流体系建设项目（二期）</t>
  </si>
  <si>
    <t>安庆皖江高科建筑安装工程有限公司</t>
  </si>
  <si>
    <t>北京市建壮咨询有限公司</t>
  </si>
  <si>
    <t>江苏兴邦建工集团有限公司</t>
  </si>
  <si>
    <t>浙江鸿翔建设集团股份有限公司</t>
  </si>
  <si>
    <t>广东电白二建集团有限公司</t>
  </si>
  <si>
    <t>41.岳西县三级物流体系建设项目（二期）一览表.pdf</t>
  </si>
  <si>
    <t>41.岳西县三级物流体系建设项目（二期）.pdf</t>
  </si>
  <si>
    <t>安庆迎江经济开发区提质增效项目-依江新能源汽车零部件产业基地B区建设项目</t>
  </si>
  <si>
    <t>安庆临港建设发展有限公司</t>
  </si>
  <si>
    <t>安徽富耀建筑工程有限公司、安徽鑫源建设集团有限公司（联合体）</t>
  </si>
  <si>
    <t>浙江大东吴集团建设有限公司</t>
  </si>
  <si>
    <t>安徽翀翊建设工程有限公司、长春建设集团股份有限公司（联合体）</t>
  </si>
  <si>
    <t>42.安庆迎江经济开发区提质增效项目-依江新能源汽车零部件产业基地B区建设项目.xls</t>
  </si>
  <si>
    <t>42.安庆迎江经济开发区提质增效项目-依江新能源汽车零部件产业基地B区建设项目.pdf</t>
  </si>
  <si>
    <t>市三院医养结合能力提升项目设计施工一体化</t>
  </si>
  <si>
    <t>安庆市第三人民医院、安庆市大观控股集团有限公司</t>
  </si>
  <si>
    <t>中国十七冶集团有限公司、徽科设计集团有限公司（联合体）</t>
  </si>
  <si>
    <t>中铁上海工程局集团有限公司、广州市市政工程设计研究总院有限公司（联合体）</t>
  </si>
  <si>
    <t>广东省第二建筑工程有限公司、天尚设计集团有限公司（联合体）</t>
  </si>
  <si>
    <t>43.市三院医养结合能力提升项目设计施工一体化.xls</t>
  </si>
  <si>
    <t>43.市三院医养结合能力提升项目设计施工一体化.pdf</t>
  </si>
  <si>
    <t>安庆合力车桥有限公司工业车辆车桥智能制造基地一期工程施工总承包</t>
  </si>
  <si>
    <t>安庆合力车桥有限公司</t>
  </si>
  <si>
    <t xml:space="preserve">安徽安天利信工程管理股份有限公司 </t>
  </si>
  <si>
    <t>广西建工第一建筑工程集团有限公司</t>
  </si>
  <si>
    <t>广州市恒盛建设集团有限公司</t>
  </si>
  <si>
    <t>湖南北山建设集团股份有限公司</t>
  </si>
  <si>
    <t>44.安庆合力车桥有限公司工业车辆车桥智能制造基地一期工程施工总承包.xls</t>
  </si>
  <si>
    <t>44.安庆合力车桥有限公司工业车辆车桥智能制造基地一期工程施工总承包.pdf</t>
  </si>
  <si>
    <t xml:space="preserve">赵朴初故居周边空间整治提升项目  </t>
  </si>
  <si>
    <t>安庆市文化和旅游局、安庆市世太史第管理处 </t>
  </si>
  <si>
    <t>安徽泽恩建筑工程有限公司</t>
  </si>
  <si>
    <t>安徽定鼎建设工程有限公司</t>
  </si>
  <si>
    <t>45.赵朴初故居周边空间整治提升项目.xls</t>
  </si>
  <si>
    <t>45.赵朴初故居周边空间整治提升项目.pdf</t>
  </si>
  <si>
    <t>安庆迎江经济开发区提质增效项目-依江新能源汽车零部件产业基地A区建设项目</t>
  </si>
  <si>
    <t>安徽远瞻建设工程有限公司</t>
  </si>
  <si>
    <t>安徽中宜维丰建设工程有限公司</t>
  </si>
  <si>
    <t>安徽鲁工建筑工程有限公司</t>
  </si>
  <si>
    <t>46.安庆迎江经济开发区提质增效项目-依江新能源汽车零部件产业基地A区建设项目.xls</t>
  </si>
  <si>
    <t>46.安庆迎江经济开发区提质增效项目-依江新能源汽车零部件产业基地A区建设项目.pdf</t>
  </si>
  <si>
    <t>安庆市残疾人康复综合服务中心建设项目施工</t>
  </si>
  <si>
    <t>安庆市残疾人联合会、安庆市重点工程建设处</t>
  </si>
  <si>
    <t>安徽海富建设有限公司</t>
  </si>
  <si>
    <t>河南智澜建筑工程有限公司</t>
  </si>
  <si>
    <t>江苏鹏达建设集团有限公司</t>
  </si>
  <si>
    <t>47.安庆市残疾人康复综合服务中心建设项目施工.xls</t>
  </si>
  <si>
    <t>47.安庆市残疾人康复综合服务中心建设项目施工.pdf</t>
  </si>
  <si>
    <t>工业园安庆皖江高科技投资发展有限公司研发中心厂房消防升级改造项目</t>
  </si>
  <si>
    <t xml:space="preserve">安庆皖江高科技投资发展有限公司   </t>
  </si>
  <si>
    <t>安徽富轩建设工程有限公司</t>
  </si>
  <si>
    <t>48.工业园安庆皖江高科技投资发展有限公司研发中心厂房消防升级改造项目.xls</t>
  </si>
  <si>
    <t>48.工业园安庆皖江高科技投资发展有限公司研发中心厂房消防升级改造项目.pdf</t>
  </si>
  <si>
    <t>花凉亭水库水文站生产业务用房建设项目</t>
  </si>
  <si>
    <t>安徽省安庆水文水资源局</t>
  </si>
  <si>
    <t>巢湖市方兴建设有限公司</t>
  </si>
  <si>
    <t>安徽隆旺达建设集团有限公司</t>
  </si>
  <si>
    <t>安徽朝发建设工程有限公司</t>
  </si>
  <si>
    <t>49.花凉亭水库水文站生产业务用房建设项目.xls</t>
  </si>
  <si>
    <t>49.花凉亭水库水文站生产业务用房建设项目.pdf</t>
  </si>
  <si>
    <t>安庆经开区汽车零部件智能制造产业园项目总承包工程</t>
  </si>
  <si>
    <t>湖南省第六工程有限公司</t>
  </si>
  <si>
    <t>贵州建工集团第五建筑工程有限责任公司</t>
  </si>
  <si>
    <t>中国一冶集团有限公司</t>
  </si>
  <si>
    <t>50.安庆经开区汽车零部件智能制造产业园项目总承包工程.xls</t>
  </si>
  <si>
    <t>50.安庆经开区汽车零部件智能制造产业园项目总承包工程.pdf</t>
  </si>
  <si>
    <t>望湖揽胜项目二期施工总承包工程</t>
  </si>
  <si>
    <t>安庆市皖宜项目咨询管理有限公司 </t>
  </si>
  <si>
    <t>天津鑫裕房屋智能制造股份有限公司、广州市第二市政工程有限公司(联合体）</t>
  </si>
  <si>
    <t>中国建筑第二工程局有限公司</t>
  </si>
  <si>
    <t>中铁建设集团有限公司、安徽天墅建设集团有限公司（联合体）</t>
  </si>
  <si>
    <t>51望湖揽胜项目二期施工总承包工程.xls</t>
  </si>
  <si>
    <t>51.望湖揽胜项目二期施工总承包工程.pdf</t>
  </si>
  <si>
    <t>望湖揽胜项目一期空气能采购及安装</t>
  </si>
  <si>
    <t>芜湖贝斯特新能源开发有限公司</t>
  </si>
  <si>
    <t>山东中科蓝天科技有限公司</t>
  </si>
  <si>
    <t>山东沐阳新能源有限公司</t>
  </si>
  <si>
    <t>52.望湖揽胜项目一期空气能采购及安装.xls</t>
  </si>
  <si>
    <t>52.望湖揽胜项目一期空气能采购及安装.pdf</t>
  </si>
  <si>
    <t>望湖揽胜项目一期智能化、三网及有线电视工程</t>
  </si>
  <si>
    <t>兰亭建设有限公司</t>
  </si>
  <si>
    <t>江苏沪港装饰集团有限公司</t>
  </si>
  <si>
    <t>53.望湖揽胜项目一期智能化、三网及有线电视工程.xls</t>
  </si>
  <si>
    <t>53.望湖揽胜项目一期智能化、三网及有线电视工程.pdf</t>
  </si>
  <si>
    <t>安庆市宜秀区教育体育局晴岚初级中学（含晴岚幼儿园）项目施工</t>
  </si>
  <si>
    <t>安庆市安通建设集团有限公司</t>
  </si>
  <si>
    <t xml:space="preserve">安庆市皖宜项目咨询管理有限公司   </t>
  </si>
  <si>
    <t>福建三建工程有限公司、安徽安水工程建设有限公司(联合体）</t>
  </si>
  <si>
    <t>泰宏建设发展有限公司、安徽省塬鑫建设工程有限公司（联合体）</t>
  </si>
  <si>
    <t>安徽宏志建设集团有限公司、博信达建设集团有限公司（联合体）</t>
  </si>
  <si>
    <t>54.安庆市宜秀区教育体育局晴岚初级中学（含晴岚幼儿园）项目施工.xls</t>
  </si>
  <si>
    <t>54.安庆市宜秀区教育体育局晴岚初级中学（含晴岚幼儿园）项目施工.pdf</t>
  </si>
  <si>
    <t>安庆市消防训练基地模拟训练设施安装施工项目</t>
  </si>
  <si>
    <t>安庆市消防救援支队</t>
  </si>
  <si>
    <t xml:space="preserve"> 
安庆市皖宜项目咨询管理有限公司  </t>
  </si>
  <si>
    <t>宁夏浩泞建筑工程有限公司</t>
  </si>
  <si>
    <t>中润泰亨建设有限公司</t>
  </si>
  <si>
    <t>安徽广达建设工程有限公司</t>
  </si>
  <si>
    <t>55.安庆市消防训练基地模拟训练设施安装施工项目.xls</t>
  </si>
  <si>
    <t>55.安庆市消防训练基地模拟训练设施安装施工项目.pdf</t>
  </si>
  <si>
    <t>市政</t>
  </si>
  <si>
    <t>安庆生态陵园园区主干道道路建设工程</t>
  </si>
  <si>
    <t>安庆君岭圣境生态陵园有限公司</t>
  </si>
  <si>
    <t>安徽中彩园林建设工程有限公司</t>
  </si>
  <si>
    <t>安徽航升建设工程有限公司</t>
  </si>
  <si>
    <t>安徽省天潜建筑工程有限公司</t>
  </si>
  <si>
    <t>56.安庆生态陵园园区主干道道路建设工程.xls</t>
  </si>
  <si>
    <t>56.安庆生态陵园园区主干道道路建设工程.pdf</t>
  </si>
  <si>
    <t>安庆市迎江区沿江污水处理厂网一体化综合治理工程二期-城区污水治理工程</t>
  </si>
  <si>
    <t>安庆市迎江区市政环卫管理中心</t>
  </si>
  <si>
    <t>杭州萧宏建设环境集团有限公司、深圳市市政设计研究院有限公司（联合体）</t>
  </si>
  <si>
    <t>中铁十九局集团有限公司、江苏中设集团股份有限公司（联合体）</t>
  </si>
  <si>
    <t>安徽建工路港建设集团有限公司、桐玉建设集团有限公司、安徽省建筑科学研究设计院（联合体）</t>
  </si>
  <si>
    <t>57.安庆市迎江区沿江污水处理厂网一体化综合治理工程二期-城区污水治理工程.xlsx</t>
  </si>
  <si>
    <t>57.安庆市迎江区沿江污水处理厂网一体化综合治理工程二期-城区污水治理工程.pdf</t>
  </si>
  <si>
    <t>芭茅村农文旅融合实训基地一期项目</t>
  </si>
  <si>
    <t>安庆市宜秀区白泽湖乡人民政府</t>
  </si>
  <si>
    <t>安徽泰杰工程咨询有限公司</t>
  </si>
  <si>
    <t>安徽盈久建筑工程有限公司</t>
  </si>
  <si>
    <t>安徽建永建设工程有限公司</t>
  </si>
  <si>
    <t>安徽全益建设工程有限公司</t>
  </si>
  <si>
    <t>58.芭茅村农文旅融合实训基地一期项目.xls</t>
  </si>
  <si>
    <t>58.芭茅村农文旅融合实训基地一期项目.pdf</t>
  </si>
  <si>
    <t>安庆市双生谷起步区一期基础设施建设项目三标段</t>
  </si>
  <si>
    <t>安徽双生谷开发投资有限公司</t>
  </si>
  <si>
    <t>杭州金溢建设集团有限公司</t>
  </si>
  <si>
    <t>河南盛鼎建设集团有限公司</t>
  </si>
  <si>
    <t>龙晟建设有限公司</t>
  </si>
  <si>
    <t>59.安庆市双生谷起步区一期基础设施建设项目三标段.xls</t>
  </si>
  <si>
    <t>59.安庆市双生谷起步区一期基础设施建设项目三标段.pdf</t>
  </si>
  <si>
    <t>安庆市双生谷起步区一期基础设施建设项目二标段</t>
  </si>
  <si>
    <t>宁波住宅建设集团股份有限公司</t>
  </si>
  <si>
    <t>南通城欣市政工程有限公司</t>
  </si>
  <si>
    <t>湖南凯迪工程科技有限公司</t>
  </si>
  <si>
    <t>60.安庆市双生谷起步区一期基础设施建设项目二标段.xls</t>
  </si>
  <si>
    <t>60.安庆市双生谷起步区一期基础设施建设项目二标段.pdf</t>
  </si>
  <si>
    <t>安庆市迎江区高松柘山片区基础设施建设项目-经一路（一标段）建设工程施工</t>
  </si>
  <si>
    <t>安庆迎创建设发展有限公司</t>
  </si>
  <si>
    <t>河南省安装集团有限责任公司</t>
  </si>
  <si>
    <t>上海城建水务工程有限公司</t>
  </si>
  <si>
    <t>61.安庆市迎江区高松柘山片区基础设施建设项目-经一路（一标段）建设工程施工.xls</t>
  </si>
  <si>
    <t>61.安庆市迎江区高松柘山片区基础设施建设项目-经一路（一标段）建设工程施工.pdf</t>
  </si>
  <si>
    <t>安庆市大观区城镇饮用水水源地综合治理项目EPC</t>
  </si>
  <si>
    <t>安庆市沃海建设工程有限公司</t>
  </si>
  <si>
    <t>安徽建工公路桥梁建设集团有限公司(联合体成员:悉地(苏州)勘察设计顾问有限公司)</t>
  </si>
  <si>
    <t>博信达建设集团有限公司(联合体成员:中都工程设计有限公司)</t>
  </si>
  <si>
    <t>安徽亿达建设集团有限公司（联合体成员：大洲设计咨询集团有限公司）</t>
  </si>
  <si>
    <t>62.安庆市大观区城镇饮用水水源地综合治理项目EPC.xls</t>
  </si>
  <si>
    <t>62.安庆市大观区城镇饮用水水源地综合治理项目EPC.pdf</t>
  </si>
  <si>
    <t>迎江区新洲乡长江岸线生态修复及乡村振兴项目—南木村和美乡村精品示范村2024年建设项目</t>
  </si>
  <si>
    <t>安庆市迎江区新洲乡人民政府、安庆市振江农业发展有限公司、安庆锐科生态环境科技有限责任公司</t>
  </si>
  <si>
    <t>安徽浩洋建筑工程有限公司</t>
  </si>
  <si>
    <t>九州水文建设集团有限公司</t>
  </si>
  <si>
    <t>安徽省旺康建筑工程有限公司</t>
  </si>
  <si>
    <t>63.迎江区新洲乡长江岸线生态修复及乡村振兴项目—南木村和美乡村精品示范村2024年建设项目.xls</t>
  </si>
  <si>
    <t>63.迎江区新洲乡长江岸线生态修复及乡村振兴项目—南木村和美乡村精品示范村2024年建设项目.pdf</t>
  </si>
  <si>
    <t>安庆奇轩动力科技有限公司污水设备新建项目</t>
  </si>
  <si>
    <t>深圳晓清水务有限公司</t>
  </si>
  <si>
    <t>江苏新裕泰华环保集团有限公司</t>
  </si>
  <si>
    <t>宇星科技发展（深圳）有限公司</t>
  </si>
  <si>
    <t>64.安庆奇轩动力科技有限公司污水设备新建项目.xls</t>
  </si>
  <si>
    <t>64.安庆奇轩动力科技有限公司污水设备新建项目.pdf</t>
  </si>
  <si>
    <t>振宜汽车有限公司（二厂）污水处理站技改项目设备施工</t>
  </si>
  <si>
    <t>振宜汽车有限公司</t>
  </si>
  <si>
    <t>江苏江通科技环保有限公司</t>
  </si>
  <si>
    <t>65.振宜汽车有限公司（二厂）污水处理站技改项目设备施工.xls</t>
  </si>
  <si>
    <t>65.振宜汽车有限公司（二厂）污水处理站技改项目设备施工.pdf</t>
  </si>
  <si>
    <t>安庆经开区高铁新区起步区基础设施建设项目绿化工程—新安路、方庄路、宝龙路、万福河南路、谭桥路、新城大道、振兴路东段、环湖西路</t>
  </si>
  <si>
    <t>江西王牌建设工程集团有限公司</t>
  </si>
  <si>
    <t>中明建投建设集团有限责任公司</t>
  </si>
  <si>
    <t>湖南尼塔建设发展股份有限公司</t>
  </si>
  <si>
    <t>66.安庆经开区高铁新区起步区基础设施建设项目绿化工程—新安路、方庄路、宝龙路、万福河南路、谭桥路、新城大道、振兴路东段、环湖西路.xls</t>
  </si>
  <si>
    <t>66.安庆经开区高铁新区起步区基础设施建设项目绿化工程—新安路、方庄路、宝龙路、万福河南路、谭桥路、新城大道、振兴路东段、环湖西路.pdf</t>
  </si>
  <si>
    <t>宜秀区祥盛花苑小区及周边排水防涝设施改造项目</t>
  </si>
  <si>
    <t>安庆市宜秀区大桥街道办事处</t>
  </si>
  <si>
    <t>安徽省恒正工程咨询有限公司</t>
  </si>
  <si>
    <t>安徽君明建筑工程有限公司</t>
  </si>
  <si>
    <t xml:space="preserve"> 安徽领科建筑工程有限公司</t>
  </si>
  <si>
    <t>安徽美好路桥工程有限公司</t>
  </si>
  <si>
    <t>67.宜秀区祥盛花苑小区及周边排水防涝设施改造项目.xls</t>
  </si>
  <si>
    <t>67.宜秀区祥盛花苑小区及周边排水防涝设施改造项目.pdf</t>
  </si>
  <si>
    <t xml:space="preserve">安庆市茶岭镇年丰村和美乡村精品示范村--缘溪步道项目  </t>
  </si>
  <si>
    <t>怀宁县茶岭镇人民政府</t>
  </si>
  <si>
    <t>安徽力悦建设工程有限公司</t>
  </si>
  <si>
    <t>安徽筑通路桥工程有限公司</t>
  </si>
  <si>
    <t>68.安庆市茶岭镇年丰村和美乡村精品示范村--缘溪步道项目.xls</t>
  </si>
  <si>
    <t>68.安庆市茶岭镇年丰村和美乡村精品示范村--缘溪步道项目.pdf</t>
  </si>
  <si>
    <t>安庆经开区2024年老旧小区改造工程（海燕东村、银馨花园一期、龙翔小区）</t>
  </si>
  <si>
    <t>安徽长林建设工程有限公司</t>
  </si>
  <si>
    <t>安徽诚瞻建筑工程有限公司</t>
  </si>
  <si>
    <t>安徽州亿建设工程有限公司</t>
  </si>
  <si>
    <t>69.安庆经开区2024年老旧小区改造工程（海燕东村、银馨花园一期、龙翔小区）.xls</t>
  </si>
  <si>
    <t>69.安庆经开区2024年老旧小区改造工程（海燕东村、银馨花园一期、龙翔小区）.pdf</t>
  </si>
  <si>
    <t>迎江区新洲乡长江岸线生态修复及乡村振兴项目（二期）-迎江区长江流域江心洲水系水环境综合治理项目（一标段）</t>
  </si>
  <si>
    <t>安庆市振江农业发展有限公司、安庆锐科生态环境科技有限责任公司</t>
  </si>
  <si>
    <t>安徽源峰工程管理有限公司、安徽洲皖建设工程有限公司（联合体）</t>
  </si>
  <si>
    <t>安徽有色建筑有限公司</t>
  </si>
  <si>
    <t>安徽宜军建设工程有限公司、鲁兴欣盛水务科技有限公司（联合体）</t>
  </si>
  <si>
    <t>70.迎江区新洲乡长江岸线生态修复及乡村振兴项目（二期）-迎江区长江流域江心洲水系水环境综合治理项目（一标段）.xls</t>
  </si>
  <si>
    <t>70.迎江区新洲乡长江岸线生态修复及乡村振兴项目（二期）-迎江区长江流域江心洲水系水环境综合治理项目（一标段）.pdf</t>
  </si>
  <si>
    <t>望湖揽胜项目一期景观工程</t>
  </si>
  <si>
    <t>南京国骄建设科技有限公司</t>
  </si>
  <si>
    <t>安徽郑信建筑工程有限公司</t>
  </si>
  <si>
    <t>安徽正恒建设科技有限公司</t>
  </si>
  <si>
    <t>71.望湖揽胜项目一期景观工程(1).xls</t>
  </si>
  <si>
    <t>71.望湖揽胜项目一期景观工程(1).pdf</t>
  </si>
  <si>
    <t>迎江经开区一号路桥梁建设项目施工</t>
  </si>
  <si>
    <t>安徽鑫梓建设工程有限公司</t>
  </si>
  <si>
    <t>安徽二乔建设集团有限公司</t>
  </si>
  <si>
    <t>72.迎江经开区一号路桥梁建设项目施工.xls</t>
  </si>
  <si>
    <t>72.迎江经开区一号路桥梁建设项目施工.pdf</t>
  </si>
  <si>
    <t>安庆市山口片区基础设施建设项目（一期）——安庆高新区山口片高压走廊防护带环境整治及场平工程（标段九）</t>
  </si>
  <si>
    <t>安庆铭宸资产运营有限公司</t>
  </si>
  <si>
    <t>宣城林夕路桥建设有限公司</t>
  </si>
  <si>
    <t>安徽佳合建设有限公司</t>
  </si>
  <si>
    <t>安徽颂瀛建筑工程有限公司</t>
  </si>
  <si>
    <t>73.安庆市山口片区基础设施建设项目（一期）——安庆高新区山口片高压走廊防护带环境整治及场平工程（标段九）.xls</t>
  </si>
  <si>
    <t>73.安庆市山口片区基础设施建设项目（一期）——安庆高新区山口片高压走廊防护带环境整治及场平工程（标段九）.pdf</t>
  </si>
  <si>
    <t>安庆市山口片区基础设施建设项目（一期）--安庆高新区山口片高压走廊防护带环境整治及场平工程（标段十四）、科甲冲泄洪沟标段二</t>
  </si>
  <si>
    <t>江苏广泽建设有限公司</t>
  </si>
  <si>
    <t>安徽丰林建设工程有限公司</t>
  </si>
  <si>
    <t>南京南部路桥建设（集团）有限公司</t>
  </si>
  <si>
    <t>74.安庆市山口片区基础设施建设项目（一期）--安庆高新区山口片高压走廊防护带环境整治及场平工程（标段十四）、科甲冲泄洪沟标段二.xls</t>
  </si>
  <si>
    <t>74.安庆市山口片区基础设施建设项目（一期）--安庆高新区山口片高压走廊防护带环境整治及场平工程（标段十四）、科甲冲泄洪沟标段二.pdf</t>
  </si>
  <si>
    <t>安庆市高铁新区星际荣耀一期项目地块土方工程</t>
  </si>
  <si>
    <t>最低投标价法</t>
  </si>
  <si>
    <t>安徽思宇水利建设工程有限公司</t>
  </si>
  <si>
    <t>安徽樾桐建设工程有限公司</t>
  </si>
  <si>
    <t>安庆致远建设工程有限公司</t>
  </si>
  <si>
    <t>75.安庆市高铁新区星际荣耀一期项目地块土方工程.xls</t>
  </si>
  <si>
    <t>75.安庆市高铁新区星际荣耀一期项目地块土方工程.pdf</t>
  </si>
  <si>
    <t>安庆市黄浦路（老峰路—天成路、金星路—方兴路、和春路—春台路）建设工程</t>
  </si>
  <si>
    <t>安庆经济技术开发区建设投资集团有限公司</t>
  </si>
  <si>
    <t>中铁十局集团有限公司</t>
  </si>
  <si>
    <t>福建省交建集团工程有限公司</t>
  </si>
  <si>
    <t>重庆市爆破工程建设有限责任公司</t>
  </si>
  <si>
    <t>76.安庆市黄浦路（老峰路—天成路、金星路—方兴路、和春路—春台路）建设工程.xls</t>
  </si>
  <si>
    <t>76.安庆市黄浦路（老峰路—天成路、金星路—方兴路、和春路—春台路）建设工程.pdf</t>
  </si>
  <si>
    <t>安庆一水厂二期工程设备采购及安装</t>
  </si>
  <si>
    <t xml:space="preserve"> 
安庆水务集团有限公司</t>
  </si>
  <si>
    <t>中国机械工业建设集团有限公司</t>
  </si>
  <si>
    <t>合肥通用机械研究院有限公司</t>
  </si>
  <si>
    <t>77.安庆一水厂二期工程设备采购及安装.xls</t>
  </si>
  <si>
    <t>77.安庆一水厂二期工程设备采购及安装.pdf</t>
  </si>
  <si>
    <t>安庆市山口片区基础设施建设项目（一期）--安庆高新区山口片 2-1 区域排水工程（一期)</t>
  </si>
  <si>
    <t xml:space="preserve">安庆铭宸资产运营有限公司   </t>
  </si>
  <si>
    <t>安徽津淮建筑工程有限公司</t>
  </si>
  <si>
    <t>安徽浩鹏建筑有限公司</t>
  </si>
  <si>
    <t>中乐建业安徽工程有限公司</t>
  </si>
  <si>
    <t>78.安庆市山口片区基础设施建设项目（一期）--安庆高新区山口片 2-1 区域排水工程（一期).xls</t>
  </si>
  <si>
    <t>78.安庆市山口片区基础设施建设项目（一期）--安庆高新区山口片 2-1 区域排水工程（一期).pdf</t>
  </si>
  <si>
    <t>安庆经开区光彩大市场箱涵应急修复工程</t>
  </si>
  <si>
    <t>安徽兴隆磊建建设工程有限公司</t>
  </si>
  <si>
    <t>安徽腾云建筑工程有限公司</t>
  </si>
  <si>
    <t>79.安庆经开区光彩大市场箱涵应急修复工程.xls</t>
  </si>
  <si>
    <t>79.安庆经开区光彩大市场箱涵应急修复工程.pdf</t>
  </si>
  <si>
    <t>安庆市宜秀区罗岭镇小龙山社区和美乡村精品示范村工程</t>
  </si>
  <si>
    <t>安庆市宜秀区罗岭镇人民政府</t>
  </si>
  <si>
    <t>安徽和正工程咨询有限公司</t>
  </si>
  <si>
    <t>安徽君悦生态建设有限公司</t>
  </si>
  <si>
    <t>安徽旭扬建设有限公司</t>
  </si>
  <si>
    <t>中涵生态科技有限公司</t>
  </si>
  <si>
    <t>80.安庆市宜秀区罗岭镇小龙山社区和美乡村精品示范村工程.xls</t>
  </si>
  <si>
    <t>80.安庆市宜秀区罗岭镇小龙山社区和美乡村精品示范村工程.pdf</t>
  </si>
  <si>
    <t>杨亭村和美乡村精品村（公益性基础设施）建设项目</t>
  </si>
  <si>
    <t>安庆市宜秀区五横乡人民政府</t>
  </si>
  <si>
    <t>安徽恒华工程咨询有限公司</t>
  </si>
  <si>
    <t>安徽永欣市政工程有限责任公司</t>
  </si>
  <si>
    <t>安徽徽力建设工程有限公司</t>
  </si>
  <si>
    <t>安徽迪扬建筑工程有限公司</t>
  </si>
  <si>
    <t>81.杨亭村和美乡村精品村（公益性基础设施）建设项目.xls</t>
  </si>
  <si>
    <t>81.杨亭村和美乡村精品村（公益性基础设施）建设项目.pdf</t>
  </si>
  <si>
    <t>安庆市大观区老城区内涝治理项目沿江西路片区内涝治理、小洋河水环境综合治理工程及安庆市（皖河口）长江生态公园（一期）（EPC+O）</t>
  </si>
  <si>
    <t>安庆市城西建设投资有限公司、安庆市观江水务有限责任公司、安庆市观丰农业有限公司</t>
  </si>
  <si>
    <t>上海艾绿投资发展有限公司、山东中宏路桥建设有限公司、艾绿工程建设（上海）有限公司、江苏山水环境建设集团股份有限公司、新自然（上海）城市规划设计有限公司（联合体）</t>
  </si>
  <si>
    <t>福建闽东建工控股集团有限公司、上海林同炎李国豪土建工程咨询有限公司（联合体）</t>
  </si>
  <si>
    <t>南阳市市政工程总公司、中科瑞城设计有限公司（联合体）</t>
  </si>
  <si>
    <t>82.安庆市大观区老城区内涝治理项目沿江西路片区内涝治理、小洋河水环境综合治理工程及安庆市（皖河口）长江生态公园（一期）（EPC.xls</t>
  </si>
  <si>
    <t>82.安庆市大观区老城区内涝治理项目沿江西路片区内涝治理、小洋河水环境综合治理工程及安庆市（皖河口）长江生态公园（一期）（EPC.pdf</t>
  </si>
  <si>
    <t>安庆市石门湖流域（山口片）水环境综合治理项目-龙塥圩水环境治理工程EPC</t>
  </si>
  <si>
    <t>安庆市大观区山口乡人民政府</t>
  </si>
  <si>
    <t>江苏兴邦建工集团有限公司、湖南智谋规划工程设计咨询有限责任公司（联合体）</t>
  </si>
  <si>
    <t>安徽宜军建设工程有限公司、苏州规划设计研究院股份有限公司（联合体）</t>
  </si>
  <si>
    <t>中瑞和建设集团有限公司</t>
  </si>
  <si>
    <t>83.安庆市石门湖流域（山口片）水环境综合治理项目-龙塥圩水环境治理工程EPC.xls</t>
  </si>
  <si>
    <t>83.安庆市石门湖流域（山口片）水环境综合治理项目-龙塥圩水环境治理工程EPC.pdf</t>
  </si>
  <si>
    <t>大寨河及环石塘湖排水防涝整治工程（五标段）（二次）</t>
  </si>
  <si>
    <t>安庆市市政工程管理处</t>
  </si>
  <si>
    <t>郑州一建集团有限公司、中冶武勘工程技术有限公司（联合体）</t>
  </si>
  <si>
    <t>博信达建设集团有限公司、中交天津航道局有限公司（联合体）</t>
  </si>
  <si>
    <t>芜湖城市建设集团股份有限公司、三川德青科技有限公司（联合体）</t>
  </si>
  <si>
    <t>84.大寨河及环石塘湖排水防涝整治工程（五标段）（二次）.xls</t>
  </si>
  <si>
    <t>84.大寨河及环石塘湖排水防涝整治工程（五标段）（二次）.pdf</t>
  </si>
  <si>
    <t>安庆市皖河片疏港道路项目EPC</t>
  </si>
  <si>
    <t>安庆市城西建设投资有限公司、安庆观澜环保产业发展有限公司</t>
  </si>
  <si>
    <t xml:space="preserve"> 
中交一公局集团有限公司、贵阳建筑勘察设计有限公司（联合体）</t>
  </si>
  <si>
    <t>中铁一局集团有限公司、悉地（苏州）勘察设计顾问有限公司（联合体）</t>
  </si>
  <si>
    <t>85.安庆市皖河片疏港道路项目EPC.xls</t>
  </si>
  <si>
    <t>85.安庆市皖河片疏港道路项目EPC.pdf</t>
  </si>
  <si>
    <t xml:space="preserve">安庆市秦潭湖公交枢纽站项目（三期）工程施工 </t>
  </si>
  <si>
    <t>安庆市道路运输管理服务中心</t>
  </si>
  <si>
    <t>安徽创美环境工程有限公司</t>
  </si>
  <si>
    <t>安徽远辉建设有限公司</t>
  </si>
  <si>
    <t>安徽新臣建设有限公司</t>
  </si>
  <si>
    <t>86.安庆市秦潭湖公交枢纽站项目（三期）工程施工.xls</t>
  </si>
  <si>
    <t>86.安庆市秦潭湖公交枢纽站项目（三期）工程施工.pdf</t>
  </si>
  <si>
    <t>将军村南、北村组村容村貌提升及水系综合治理项目</t>
  </si>
  <si>
    <t>安庆市迎江区长风乡人民政府</t>
  </si>
  <si>
    <t>安徽大为工程咨询有限公司</t>
  </si>
  <si>
    <t>安徽希筑建设工程有限公司</t>
  </si>
  <si>
    <t>安徽尤安建设工程有限公司</t>
  </si>
  <si>
    <t>安徽北宸建设工程有限公司</t>
  </si>
  <si>
    <t>87.将军村南、北村组村容村貌提升及水系综合治理项目.xls</t>
  </si>
  <si>
    <t>87.将军村南、北村组村容村貌提升及水系综合治理项目.pdf</t>
  </si>
  <si>
    <t>安庆高新区山口片公共管廊及蒸汽污水管网一期工程（八里湖段、连芯段）</t>
  </si>
  <si>
    <t>上海能源建设集团有限公司</t>
  </si>
  <si>
    <t>安徽建工建设安装集团有限公司</t>
  </si>
  <si>
    <t>88.安庆高新区山口片公共管廊及蒸汽污水管网一期工程（八里湖段、连芯段）.xls</t>
  </si>
  <si>
    <t>88.安庆高新区山口片公共管廊及蒸汽污水管网一期工程（八里湖段、连芯段）.pdf</t>
  </si>
  <si>
    <t>皖西南汽车及零部件产业集散枢纽建设项目——外围路网工程（一期）</t>
  </si>
  <si>
    <t xml:space="preserve"> 
安庆盛唐实业有限公司</t>
  </si>
  <si>
    <t>安徽中栋建筑项目管理有限公司</t>
  </si>
  <si>
    <t>安徽益祥建设集团有限公司</t>
  </si>
  <si>
    <t>安徽冠楼建设工程有限公司</t>
  </si>
  <si>
    <t>89.皖西南汽车及零部件产业集散枢纽建设项目——外围路网工程（一期）.xls</t>
  </si>
  <si>
    <t>89.皖西南汽车及零部件产业集散枢纽建设项目——外围路网工程（一期）.pdf</t>
  </si>
  <si>
    <t>安庆高新区凤凰片综合能效提升项目—蒸汽管网保温材料升级改造及新建林立段管廊工程</t>
  </si>
  <si>
    <t xml:space="preserve"> 
炬阳建设集团有限公司</t>
  </si>
  <si>
    <t>西北舜天建设有限公司</t>
  </si>
  <si>
    <t>90.安庆高新区凤凰片综合能效提升项目—蒸汽管网保温材料升级改造及新建林立段管廊工程.xls</t>
  </si>
  <si>
    <t>90.安庆高新区凤凰片综合能效提升项目—蒸汽管网保温材料升级改造及新建林立段管廊工程.pdf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</si>
</sst>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2">
    <font>
      <sz val="11"/>
      <color theme="1"/>
      <name val="宋体"/>
      <charset val="134"/>
      <scheme val="minor"/>
    </font>
    <font>
      <sz val="12"/>
      <color rgb="FF333333"/>
      <name val="宋体"/>
      <charset val="134"/>
    </font>
    <font>
      <sz val="12"/>
      <color rgb="FF3D4B6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alignment vertical="center"/>
    </xf>
    <xf numFmtId="0" fontId="0" fillId="0" borderId="0" xfId="0" applyFill="1" applyAlignment="1">
      <alignment horizontal="center" vertical="center" wrapText="1"/>
    </xf>
    <xf numFmtId="0" fontId="0" fillId="0" borderId="0" xfId="0" applyAlignment="1">
      <alignment horizontal="center" vertical="center" wrapText="1"/>
    </xf>
    <xf numFmtId="176" fontId="0" fillId="0" borderId="0" xfId="0" applyNumberFormat="1" applyAlignment="1">
      <alignment horizontal="center" vertical="center" wrapText="1"/>
    </xf>
    <xf numFmtId="10" fontId="0" fillId="0" borderId="0" xfId="0" applyNumberFormat="1" applyAlignment="1">
      <alignment horizontal="center" vertical="center" wrapText="1"/>
    </xf>
    <xf numFmtId="176" fontId="0" fillId="0" borderId="0" xfId="0" applyNumberForma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177" fontId="0" fillId="0" borderId="0" xfId="0" applyNumberFormat="1" applyAlignment="1">
      <alignment horizontal="center" vertical="center" wrapText="1"/>
    </xf>
    <xf numFmtId="0" fontId="2" fillId="0" borderId="0" xfId="0" applyFont="1" applyAlignment="1">
      <alignment vertical="center" wrapText="1"/>
    </xf>
    <xf numFmtId="10" fontId="0" fillId="0" borderId="0" xfId="0" applyNumberFormat="1" applyFill="1" applyAlignment="1">
      <alignment horizontal="center" vertical="center" wrapText="1"/>
    </xf>
    <xf numFmtId="0" fontId="3" fillId="0" borderId="0" xfId="6" applyFill="1" applyAlignment="1">
      <alignment horizontal="center" vertical="center" wrapText="1"/>
    </xf>
    <xf numFmtId="0" fontId="3" fillId="0" borderId="0" xfId="6" applyAlignment="1">
      <alignment horizontal="center" vertical="center" wrapText="1"/>
    </xf>
    <xf numFmtId="0" fontId="4" fillId="0" borderId="0" xfId="6" applyFont="1" applyAlignment="1">
      <alignment horizontal="center" vertical="center" wrapText="1"/>
    </xf>
    <xf numFmtId="0" fontId="0"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kdocs.cn/l/ctgzZS3wHQYE" TargetMode="External"/><Relationship Id="rId98" Type="http://schemas.openxmlformats.org/officeDocument/2006/relationships/hyperlink" Target="https://kdocs.cn/l/cklwnm8lJWTl" TargetMode="External"/><Relationship Id="rId97" Type="http://schemas.openxmlformats.org/officeDocument/2006/relationships/hyperlink" Target="https://kdocs.cn/l/csQnRQ4tcKx2" TargetMode="External"/><Relationship Id="rId96" Type="http://schemas.openxmlformats.org/officeDocument/2006/relationships/hyperlink" Target="https://kdocs.cn/l/co5N3zLJlANI" TargetMode="External"/><Relationship Id="rId95" Type="http://schemas.openxmlformats.org/officeDocument/2006/relationships/hyperlink" Target="https://kdocs.cn/l/ci2Npw1Q1elU" TargetMode="External"/><Relationship Id="rId94" Type="http://schemas.openxmlformats.org/officeDocument/2006/relationships/hyperlink" Target="https://kdocs.cn/l/cjv7deEekOnK" TargetMode="External"/><Relationship Id="rId93" Type="http://schemas.openxmlformats.org/officeDocument/2006/relationships/hyperlink" Target="https://kdocs.cn/l/cjyR93TTLM3v" TargetMode="External"/><Relationship Id="rId92" Type="http://schemas.openxmlformats.org/officeDocument/2006/relationships/hyperlink" Target="https://kdocs.cn/l/cjZytoVNX5UY" TargetMode="External"/><Relationship Id="rId91" Type="http://schemas.openxmlformats.org/officeDocument/2006/relationships/hyperlink" Target="https://kdocs.cn/l/cr0sRQio3Gni" TargetMode="External"/><Relationship Id="rId90" Type="http://schemas.openxmlformats.org/officeDocument/2006/relationships/hyperlink" Target="https://kdocs.cn/l/cqORSKIu1CjS" TargetMode="External"/><Relationship Id="rId9" Type="http://schemas.openxmlformats.org/officeDocument/2006/relationships/hyperlink" Target="https://kdocs.cn/l/cdwBryeSNdOa" TargetMode="External"/><Relationship Id="rId89" Type="http://schemas.openxmlformats.org/officeDocument/2006/relationships/hyperlink" Target="https://kdocs.cn/l/chKoiTVd4hDi" TargetMode="External"/><Relationship Id="rId88" Type="http://schemas.openxmlformats.org/officeDocument/2006/relationships/hyperlink" Target="https://kdocs.cn/l/ctNOcrmnN8E9" TargetMode="External"/><Relationship Id="rId87" Type="http://schemas.openxmlformats.org/officeDocument/2006/relationships/hyperlink" Target="https://kdocs.cn/l/cpHjMTn1HWQj" TargetMode="External"/><Relationship Id="rId86" Type="http://schemas.openxmlformats.org/officeDocument/2006/relationships/hyperlink" Target="https://kdocs.cn/l/cqTe9PSfVV3u" TargetMode="External"/><Relationship Id="rId85" Type="http://schemas.openxmlformats.org/officeDocument/2006/relationships/hyperlink" Target="https://kdocs.cn/l/cuO5LG87T8HW" TargetMode="External"/><Relationship Id="rId84" Type="http://schemas.openxmlformats.org/officeDocument/2006/relationships/hyperlink" Target="https://kdocs.cn/l/cd1DNxCmcUFS" TargetMode="External"/><Relationship Id="rId83" Type="http://schemas.openxmlformats.org/officeDocument/2006/relationships/hyperlink" Target="https://kdocs.cn/l/cftKtmSelgCZ" TargetMode="External"/><Relationship Id="rId82" Type="http://schemas.openxmlformats.org/officeDocument/2006/relationships/hyperlink" Target="https://kdocs.cn/l/ctU0iFh3qUhr" TargetMode="External"/><Relationship Id="rId81" Type="http://schemas.openxmlformats.org/officeDocument/2006/relationships/hyperlink" Target="https://kdocs.cn/l/ciq4FXqSpypw" TargetMode="External"/><Relationship Id="rId80" Type="http://schemas.openxmlformats.org/officeDocument/2006/relationships/hyperlink" Target="https://kdocs.cn/l/cqpfE6KzWnBY" TargetMode="External"/><Relationship Id="rId8" Type="http://schemas.openxmlformats.org/officeDocument/2006/relationships/hyperlink" Target="https://kdocs.cn/l/ckhIOL6sz3h0" TargetMode="External"/><Relationship Id="rId79" Type="http://schemas.openxmlformats.org/officeDocument/2006/relationships/hyperlink" Target="https://kdocs.cn/l/ch57CLGlFamm" TargetMode="External"/><Relationship Id="rId78" Type="http://schemas.openxmlformats.org/officeDocument/2006/relationships/hyperlink" Target="https://kdocs.cn/l/csveLIDxrq0U" TargetMode="External"/><Relationship Id="rId77" Type="http://schemas.openxmlformats.org/officeDocument/2006/relationships/hyperlink" Target="https://kdocs.cn/l/cv1DHBinT3nC" TargetMode="External"/><Relationship Id="rId76" Type="http://schemas.openxmlformats.org/officeDocument/2006/relationships/hyperlink" Target="https://kdocs.cn/l/cq7gIrTC28xc" TargetMode="External"/><Relationship Id="rId75" Type="http://schemas.openxmlformats.org/officeDocument/2006/relationships/hyperlink" Target="https://kdocs.cn/l/cl4AUBg9Yg09" TargetMode="External"/><Relationship Id="rId74" Type="http://schemas.openxmlformats.org/officeDocument/2006/relationships/hyperlink" Target="https://kdocs.cn/l/cnjASje1c7kH" TargetMode="External"/><Relationship Id="rId73" Type="http://schemas.openxmlformats.org/officeDocument/2006/relationships/hyperlink" Target="https://kdocs.cn/l/chhBXpZ9NKho" TargetMode="External"/><Relationship Id="rId72" Type="http://schemas.openxmlformats.org/officeDocument/2006/relationships/hyperlink" Target="https://kdocs.cn/l/cdMAPQ8YXxIf" TargetMode="External"/><Relationship Id="rId71" Type="http://schemas.openxmlformats.org/officeDocument/2006/relationships/hyperlink" Target="https://kdocs.cn/l/cgrGOIeEq8sm" TargetMode="External"/><Relationship Id="rId70" Type="http://schemas.openxmlformats.org/officeDocument/2006/relationships/hyperlink" Target="https://kdocs.cn/l/cr4pb0MXmGiK" TargetMode="External"/><Relationship Id="rId7" Type="http://schemas.openxmlformats.org/officeDocument/2006/relationships/hyperlink" Target="https://kdocs.cn/l/coz6vg0b5hjI" TargetMode="External"/><Relationship Id="rId69" Type="http://schemas.openxmlformats.org/officeDocument/2006/relationships/hyperlink" Target="https://kdocs.cn/l/coOvfZ8UWFlU" TargetMode="External"/><Relationship Id="rId68" Type="http://schemas.openxmlformats.org/officeDocument/2006/relationships/hyperlink" Target="https://kdocs.cn/l/cgK5gYLmJMnD" TargetMode="External"/><Relationship Id="rId67" Type="http://schemas.openxmlformats.org/officeDocument/2006/relationships/hyperlink" Target="https://kdocs.cn/l/cj2CGQu3f8vC" TargetMode="External"/><Relationship Id="rId66" Type="http://schemas.openxmlformats.org/officeDocument/2006/relationships/hyperlink" Target="https://kdocs.cn/l/ceNwRu4XS4K7" TargetMode="External"/><Relationship Id="rId65" Type="http://schemas.openxmlformats.org/officeDocument/2006/relationships/hyperlink" Target="https://kdocs.cn/l/cs9vx9XocjEW" TargetMode="External"/><Relationship Id="rId64" Type="http://schemas.openxmlformats.org/officeDocument/2006/relationships/hyperlink" Target="https://kdocs.cn/l/cgKkVqk9TaPm" TargetMode="External"/><Relationship Id="rId63" Type="http://schemas.openxmlformats.org/officeDocument/2006/relationships/hyperlink" Target="https://kdocs.cn/l/ci8yRmHwrGj9" TargetMode="External"/><Relationship Id="rId62" Type="http://schemas.openxmlformats.org/officeDocument/2006/relationships/hyperlink" Target="https://kdocs.cn/l/cjSzzWoloPW4" TargetMode="External"/><Relationship Id="rId61" Type="http://schemas.openxmlformats.org/officeDocument/2006/relationships/hyperlink" Target="https://kdocs.cn/l/cu7ktA5ad51R" TargetMode="External"/><Relationship Id="rId60" Type="http://schemas.openxmlformats.org/officeDocument/2006/relationships/hyperlink" Target="https://kdocs.cn/l/ct4ME7Ixedjr" TargetMode="External"/><Relationship Id="rId6" Type="http://schemas.openxmlformats.org/officeDocument/2006/relationships/hyperlink" Target="https://kdocs.cn/l/ctXt5OkVTLKe" TargetMode="External"/><Relationship Id="rId59" Type="http://schemas.openxmlformats.org/officeDocument/2006/relationships/hyperlink" Target="https://kdocs.cn/l/crZvhJnyaLg2" TargetMode="External"/><Relationship Id="rId58" Type="http://schemas.openxmlformats.org/officeDocument/2006/relationships/hyperlink" Target="https://kdocs.cn/l/cgGHEojpfR4o" TargetMode="External"/><Relationship Id="rId57" Type="http://schemas.openxmlformats.org/officeDocument/2006/relationships/hyperlink" Target="https://kdocs.cn/l/crvffKEBsvzY" TargetMode="External"/><Relationship Id="rId56" Type="http://schemas.openxmlformats.org/officeDocument/2006/relationships/hyperlink" Target="https://kdocs.cn/l/cbyWSWE67B1f" TargetMode="External"/><Relationship Id="rId55" Type="http://schemas.openxmlformats.org/officeDocument/2006/relationships/hyperlink" Target="https://kdocs.cn/l/cdt3IsufixBY" TargetMode="External"/><Relationship Id="rId54" Type="http://schemas.openxmlformats.org/officeDocument/2006/relationships/hyperlink" Target="https://kdocs.cn/l/choHMYyZ1wj0" TargetMode="External"/><Relationship Id="rId53" Type="http://schemas.openxmlformats.org/officeDocument/2006/relationships/hyperlink" Target="https://kdocs.cn/l/cc2NMdbf2dMN" TargetMode="External"/><Relationship Id="rId52" Type="http://schemas.openxmlformats.org/officeDocument/2006/relationships/hyperlink" Target="https://kdocs.cn/l/crlLeIsDXVYB" TargetMode="External"/><Relationship Id="rId51" Type="http://schemas.openxmlformats.org/officeDocument/2006/relationships/hyperlink" Target="https://kdocs.cn/l/cmzZsIQW7DYE" TargetMode="External"/><Relationship Id="rId50" Type="http://schemas.openxmlformats.org/officeDocument/2006/relationships/hyperlink" Target="https://kdocs.cn/l/cuwc15N6ZPKZ" TargetMode="External"/><Relationship Id="rId5" Type="http://schemas.openxmlformats.org/officeDocument/2006/relationships/hyperlink" Target="https://kdocs.cn/l/cuNxdx13aUff" TargetMode="External"/><Relationship Id="rId49" Type="http://schemas.openxmlformats.org/officeDocument/2006/relationships/hyperlink" Target="https://kdocs.cn/l/cpv1FN9CXbdZ" TargetMode="External"/><Relationship Id="rId48" Type="http://schemas.openxmlformats.org/officeDocument/2006/relationships/hyperlink" Target="https://kdocs.cn/l/cpXEx0vGcvIc" TargetMode="External"/><Relationship Id="rId47" Type="http://schemas.openxmlformats.org/officeDocument/2006/relationships/hyperlink" Target="https://kdocs.cn/l/cgxwCJnaFual" TargetMode="External"/><Relationship Id="rId46" Type="http://schemas.openxmlformats.org/officeDocument/2006/relationships/hyperlink" Target="https://kdocs.cn/l/clWoOL1BjpAB" TargetMode="External"/><Relationship Id="rId45" Type="http://schemas.openxmlformats.org/officeDocument/2006/relationships/hyperlink" Target="https://kdocs.cn/l/cmRj3HuipzZA" TargetMode="External"/><Relationship Id="rId44" Type="http://schemas.openxmlformats.org/officeDocument/2006/relationships/hyperlink" Target="https://kdocs.cn/l/cvudxmTaYwHg" TargetMode="External"/><Relationship Id="rId43" Type="http://schemas.openxmlformats.org/officeDocument/2006/relationships/hyperlink" Target="https://kdocs.cn/l/chkVmnLVmSM4" TargetMode="External"/><Relationship Id="rId42" Type="http://schemas.openxmlformats.org/officeDocument/2006/relationships/hyperlink" Target="https://kdocs.cn/l/cfrvchRGc7d0" TargetMode="External"/><Relationship Id="rId41" Type="http://schemas.openxmlformats.org/officeDocument/2006/relationships/hyperlink" Target="https://kdocs.cn/l/ctjOLZdFBNXb" TargetMode="External"/><Relationship Id="rId40" Type="http://schemas.openxmlformats.org/officeDocument/2006/relationships/hyperlink" Target="https://kdocs.cn/l/csGCxKdrm2K1" TargetMode="External"/><Relationship Id="rId4" Type="http://schemas.openxmlformats.org/officeDocument/2006/relationships/hyperlink" Target="https://kdocs.cn/l/cnRBl7HjItlk" TargetMode="External"/><Relationship Id="rId39" Type="http://schemas.openxmlformats.org/officeDocument/2006/relationships/hyperlink" Target="https://kdocs.cn/l/cfO79DOC37k5" TargetMode="External"/><Relationship Id="rId38" Type="http://schemas.openxmlformats.org/officeDocument/2006/relationships/hyperlink" Target="https://kdocs.cn/l/chFnqr77EDXL" TargetMode="External"/><Relationship Id="rId37" Type="http://schemas.openxmlformats.org/officeDocument/2006/relationships/hyperlink" Target="https://kdocs.cn/l/clW5LZPM4ULP" TargetMode="External"/><Relationship Id="rId36" Type="http://schemas.openxmlformats.org/officeDocument/2006/relationships/hyperlink" Target="https://kdocs.cn/l/cjq92u9AS8VQ" TargetMode="External"/><Relationship Id="rId35" Type="http://schemas.openxmlformats.org/officeDocument/2006/relationships/hyperlink" Target="https://kdocs.cn/l/cdlfLFyG5ud3" TargetMode="External"/><Relationship Id="rId34" Type="http://schemas.openxmlformats.org/officeDocument/2006/relationships/hyperlink" Target="https://kdocs.cn/l/cfQgnnicXcKO" TargetMode="External"/><Relationship Id="rId33" Type="http://schemas.openxmlformats.org/officeDocument/2006/relationships/hyperlink" Target="https://kdocs.cn/l/chRBdnKXXUrn" TargetMode="External"/><Relationship Id="rId32" Type="http://schemas.openxmlformats.org/officeDocument/2006/relationships/hyperlink" Target="https://kdocs.cn/l/ckhNW4hKxL53" TargetMode="External"/><Relationship Id="rId31" Type="http://schemas.openxmlformats.org/officeDocument/2006/relationships/hyperlink" Target="https://kdocs.cn/l/cdKnvC1a1YPQ" TargetMode="External"/><Relationship Id="rId30" Type="http://schemas.openxmlformats.org/officeDocument/2006/relationships/hyperlink" Target="https://kdocs.cn/l/cqVqA4gBeMoy" TargetMode="External"/><Relationship Id="rId3" Type="http://schemas.openxmlformats.org/officeDocument/2006/relationships/hyperlink" Target="https://kdocs.cn/l/cgUtP3L4c4Lr" TargetMode="External"/><Relationship Id="rId29" Type="http://schemas.openxmlformats.org/officeDocument/2006/relationships/hyperlink" Target="https://kdocs.cn/l/ctOteRGR12ht" TargetMode="External"/><Relationship Id="rId28" Type="http://schemas.openxmlformats.org/officeDocument/2006/relationships/hyperlink" Target="https://kdocs.cn/l/cf4QYXUK4cnL" TargetMode="External"/><Relationship Id="rId27" Type="http://schemas.openxmlformats.org/officeDocument/2006/relationships/hyperlink" Target="https://kdocs.cn/l/cq5TKFMVU2Hg" TargetMode="External"/><Relationship Id="rId26" Type="http://schemas.openxmlformats.org/officeDocument/2006/relationships/hyperlink" Target="https://kdocs.cn/l/ckQcZycNUPB1" TargetMode="External"/><Relationship Id="rId25" Type="http://schemas.openxmlformats.org/officeDocument/2006/relationships/hyperlink" Target="https://kdocs.cn/l/crwgAyGCahBY" TargetMode="External"/><Relationship Id="rId24" Type="http://schemas.openxmlformats.org/officeDocument/2006/relationships/hyperlink" Target="https://kdocs.cn/l/ceOpFDNLsezZ" TargetMode="External"/><Relationship Id="rId23" Type="http://schemas.openxmlformats.org/officeDocument/2006/relationships/hyperlink" Target="https://kdocs.cn/l/cbfDQk2ExW0K" TargetMode="External"/><Relationship Id="rId22" Type="http://schemas.openxmlformats.org/officeDocument/2006/relationships/hyperlink" Target="https://kdocs.cn/l/comjhs63m6eT" TargetMode="External"/><Relationship Id="rId21" Type="http://schemas.openxmlformats.org/officeDocument/2006/relationships/hyperlink" Target="https://kdocs.cn/l/cojiyHajt9Yt" TargetMode="External"/><Relationship Id="rId20" Type="http://schemas.openxmlformats.org/officeDocument/2006/relationships/hyperlink" Target="https://kdocs.cn/l/caMThsmw69IB" TargetMode="External"/><Relationship Id="rId2" Type="http://schemas.openxmlformats.org/officeDocument/2006/relationships/hyperlink" Target="https://kdocs.cn/l/chYtsRebeisM" TargetMode="External"/><Relationship Id="rId19" Type="http://schemas.openxmlformats.org/officeDocument/2006/relationships/hyperlink" Target="https://kdocs.cn/l/coeRGtxjzUjQ" TargetMode="External"/><Relationship Id="rId18" Type="http://schemas.openxmlformats.org/officeDocument/2006/relationships/hyperlink" Target="https://kdocs.cn/l/ctoB9OityzzR" TargetMode="External"/><Relationship Id="rId172" Type="http://schemas.openxmlformats.org/officeDocument/2006/relationships/hyperlink" Target="https://kdocs.cn/l/co8QCVHzD1Xr" TargetMode="External"/><Relationship Id="rId171" Type="http://schemas.openxmlformats.org/officeDocument/2006/relationships/hyperlink" Target="https://kdocs.cn/l/cnq6Lstku8p9" TargetMode="External"/><Relationship Id="rId170" Type="http://schemas.openxmlformats.org/officeDocument/2006/relationships/hyperlink" Target="https://kdocs.cn/l/ckUk5mwuZ6Dj" TargetMode="External"/><Relationship Id="rId17" Type="http://schemas.openxmlformats.org/officeDocument/2006/relationships/hyperlink" Target="https://kdocs.cn/l/chP3zY1Rwn6v" TargetMode="External"/><Relationship Id="rId169" Type="http://schemas.openxmlformats.org/officeDocument/2006/relationships/hyperlink" Target="https://kdocs.cn/l/cspyIg5kOjrD" TargetMode="External"/><Relationship Id="rId168" Type="http://schemas.openxmlformats.org/officeDocument/2006/relationships/hyperlink" Target="https://kdocs.cn/l/ctRygAER29Y3" TargetMode="External"/><Relationship Id="rId167" Type="http://schemas.openxmlformats.org/officeDocument/2006/relationships/hyperlink" Target="https://kdocs.cn/l/cngZkiMt1bh5" TargetMode="External"/><Relationship Id="rId166" Type="http://schemas.openxmlformats.org/officeDocument/2006/relationships/hyperlink" Target="https://kdocs.cn/l/cbUzoKXUVMxR" TargetMode="External"/><Relationship Id="rId165" Type="http://schemas.openxmlformats.org/officeDocument/2006/relationships/hyperlink" Target="https://kdocs.cn/l/ckOF6Ujt2K0o" TargetMode="External"/><Relationship Id="rId164" Type="http://schemas.openxmlformats.org/officeDocument/2006/relationships/hyperlink" Target="https://kdocs.cn/l/ckVqBieHNdoK" TargetMode="External"/><Relationship Id="rId163" Type="http://schemas.openxmlformats.org/officeDocument/2006/relationships/hyperlink" Target="https://kdocs.cn/l/cnBAC2YFioaT" TargetMode="External"/><Relationship Id="rId162" Type="http://schemas.openxmlformats.org/officeDocument/2006/relationships/hyperlink" Target="https://kdocs.cn/l/cmJ2aHvwEB5q" TargetMode="External"/><Relationship Id="rId161" Type="http://schemas.openxmlformats.org/officeDocument/2006/relationships/hyperlink" Target="https://kdocs.cn/l/cjxr20tLlw5L" TargetMode="External"/><Relationship Id="rId160" Type="http://schemas.openxmlformats.org/officeDocument/2006/relationships/hyperlink" Target="https://kdocs.cn/l/crQxYaFEisKq" TargetMode="External"/><Relationship Id="rId16" Type="http://schemas.openxmlformats.org/officeDocument/2006/relationships/hyperlink" Target="https://kdocs.cn/l/cfsoqRqyJ0qs" TargetMode="External"/><Relationship Id="rId159" Type="http://schemas.openxmlformats.org/officeDocument/2006/relationships/hyperlink" Target="https://kdocs.cn/l/csyKNxYLgEK6" TargetMode="External"/><Relationship Id="rId158" Type="http://schemas.openxmlformats.org/officeDocument/2006/relationships/hyperlink" Target="https://kdocs.cn/l/cfCES5zCUi7h" TargetMode="External"/><Relationship Id="rId157" Type="http://schemas.openxmlformats.org/officeDocument/2006/relationships/hyperlink" Target="https://kdocs.cn/l/cluhd9AaWqKc" TargetMode="External"/><Relationship Id="rId156" Type="http://schemas.openxmlformats.org/officeDocument/2006/relationships/hyperlink" Target="https://kdocs.cn/l/csiC0XESLMwj" TargetMode="External"/><Relationship Id="rId155" Type="http://schemas.openxmlformats.org/officeDocument/2006/relationships/hyperlink" Target="https://kdocs.cn/l/cvaBoyDIYGVp" TargetMode="External"/><Relationship Id="rId154" Type="http://schemas.openxmlformats.org/officeDocument/2006/relationships/hyperlink" Target="https://kdocs.cn/l/ciBNIEjV4MFU" TargetMode="External"/><Relationship Id="rId153" Type="http://schemas.openxmlformats.org/officeDocument/2006/relationships/hyperlink" Target="https://kdocs.cn/l/chBCtWMPwMAE" TargetMode="External"/><Relationship Id="rId152" Type="http://schemas.openxmlformats.org/officeDocument/2006/relationships/hyperlink" Target="https://kdocs.cn/l/ctAoDO2hQftc" TargetMode="External"/><Relationship Id="rId151" Type="http://schemas.openxmlformats.org/officeDocument/2006/relationships/hyperlink" Target="https://kdocs.cn/l/ciGk2KymZ23z" TargetMode="External"/><Relationship Id="rId150" Type="http://schemas.openxmlformats.org/officeDocument/2006/relationships/hyperlink" Target="https://kdocs.cn/l/cukvlKq4Wt1Z" TargetMode="External"/><Relationship Id="rId15" Type="http://schemas.openxmlformats.org/officeDocument/2006/relationships/hyperlink" Target="https://kdocs.cn/l/cv6hazeZYYgk" TargetMode="External"/><Relationship Id="rId149" Type="http://schemas.openxmlformats.org/officeDocument/2006/relationships/hyperlink" Target="https://kdocs.cn/l/cd0RfkqEhsXi" TargetMode="External"/><Relationship Id="rId148" Type="http://schemas.openxmlformats.org/officeDocument/2006/relationships/hyperlink" Target="https://kdocs.cn/l/cso1eF4x1GCK" TargetMode="External"/><Relationship Id="rId147" Type="http://schemas.openxmlformats.org/officeDocument/2006/relationships/hyperlink" Target="https://kdocs.cn/l/cgkR9jjjpKhN" TargetMode="External"/><Relationship Id="rId146" Type="http://schemas.openxmlformats.org/officeDocument/2006/relationships/hyperlink" Target="https://kdocs.cn/l/cjmiJEoVRS9f" TargetMode="External"/><Relationship Id="rId145" Type="http://schemas.openxmlformats.org/officeDocument/2006/relationships/hyperlink" Target="https://kdocs.cn/l/cukKeb4GDkaL" TargetMode="External"/><Relationship Id="rId144" Type="http://schemas.openxmlformats.org/officeDocument/2006/relationships/hyperlink" Target="https://kdocs.cn/l/cdQiQjeZq0GF" TargetMode="External"/><Relationship Id="rId143" Type="http://schemas.openxmlformats.org/officeDocument/2006/relationships/hyperlink" Target="https://kdocs.cn/l/ccxF7zF2xDuy" TargetMode="External"/><Relationship Id="rId142" Type="http://schemas.openxmlformats.org/officeDocument/2006/relationships/hyperlink" Target="https://kdocs.cn/l/cbqihpQQPZq1" TargetMode="External"/><Relationship Id="rId141" Type="http://schemas.openxmlformats.org/officeDocument/2006/relationships/hyperlink" Target="https://kdocs.cn/l/ckfOMa2B69fP" TargetMode="External"/><Relationship Id="rId140" Type="http://schemas.openxmlformats.org/officeDocument/2006/relationships/hyperlink" Target="https://kdocs.cn/l/ckOsdyaeRdDz" TargetMode="External"/><Relationship Id="rId14" Type="http://schemas.openxmlformats.org/officeDocument/2006/relationships/hyperlink" Target="https://kdocs.cn/l/cgxhGrCSOS2X" TargetMode="External"/><Relationship Id="rId139" Type="http://schemas.openxmlformats.org/officeDocument/2006/relationships/hyperlink" Target="https://kdocs.cn/l/cqlNSAR5ZIAR" TargetMode="External"/><Relationship Id="rId138" Type="http://schemas.openxmlformats.org/officeDocument/2006/relationships/hyperlink" Target="https://kdocs.cn/l/cgAsxjlEvwKB" TargetMode="External"/><Relationship Id="rId137" Type="http://schemas.openxmlformats.org/officeDocument/2006/relationships/hyperlink" Target="https://kdocs.cn/l/ckxduLhBX2hU" TargetMode="External"/><Relationship Id="rId136" Type="http://schemas.openxmlformats.org/officeDocument/2006/relationships/hyperlink" Target="https://kdocs.cn/l/csOqLJ8mwXyV" TargetMode="External"/><Relationship Id="rId135" Type="http://schemas.openxmlformats.org/officeDocument/2006/relationships/hyperlink" Target="https://kdocs.cn/l/cbaRbl19Nav3" TargetMode="External"/><Relationship Id="rId134" Type="http://schemas.openxmlformats.org/officeDocument/2006/relationships/hyperlink" Target="https://kdocs.cn/l/cuIOHPK1kTDg" TargetMode="External"/><Relationship Id="rId133" Type="http://schemas.openxmlformats.org/officeDocument/2006/relationships/hyperlink" Target="https://kdocs.cn/l/cv8R995rRQWp" TargetMode="External"/><Relationship Id="rId132" Type="http://schemas.openxmlformats.org/officeDocument/2006/relationships/hyperlink" Target="https://kdocs.cn/l/ctnFmZVqv0fo" TargetMode="External"/><Relationship Id="rId131" Type="http://schemas.openxmlformats.org/officeDocument/2006/relationships/hyperlink" Target="https://kdocs.cn/l/ckN6Qm6baN6a" TargetMode="External"/><Relationship Id="rId130" Type="http://schemas.openxmlformats.org/officeDocument/2006/relationships/hyperlink" Target="https://kdocs.cn/l/ckSTBWEx5v6N" TargetMode="External"/><Relationship Id="rId13" Type="http://schemas.openxmlformats.org/officeDocument/2006/relationships/hyperlink" Target="https://kdocs.cn/l/cpSnbRzyiWMl" TargetMode="External"/><Relationship Id="rId129" Type="http://schemas.openxmlformats.org/officeDocument/2006/relationships/hyperlink" Target="https://kdocs.cn/l/ctuIYhRnTtxd" TargetMode="External"/><Relationship Id="rId128" Type="http://schemas.openxmlformats.org/officeDocument/2006/relationships/hyperlink" Target="https://kdocs.cn/l/csWgARJpyHso" TargetMode="External"/><Relationship Id="rId127" Type="http://schemas.openxmlformats.org/officeDocument/2006/relationships/hyperlink" Target="https://kdocs.cn/l/cqH4uGInMoD9" TargetMode="External"/><Relationship Id="rId126" Type="http://schemas.openxmlformats.org/officeDocument/2006/relationships/hyperlink" Target="https://kdocs.cn/l/cjjbTgSBxL4z" TargetMode="External"/><Relationship Id="rId125" Type="http://schemas.openxmlformats.org/officeDocument/2006/relationships/hyperlink" Target="https://kdocs.cn/l/cdDBsWrpmofq" TargetMode="External"/><Relationship Id="rId124" Type="http://schemas.openxmlformats.org/officeDocument/2006/relationships/hyperlink" Target="https://kdocs.cn/l/cg0yHEAfAV2R" TargetMode="External"/><Relationship Id="rId123" Type="http://schemas.openxmlformats.org/officeDocument/2006/relationships/hyperlink" Target="https://kdocs.cn/l/ccl8k36642Q1" TargetMode="External"/><Relationship Id="rId122" Type="http://schemas.openxmlformats.org/officeDocument/2006/relationships/hyperlink" Target="https://kdocs.cn/l/caahPvyzD4YC" TargetMode="External"/><Relationship Id="rId121" Type="http://schemas.openxmlformats.org/officeDocument/2006/relationships/hyperlink" Target="https://kdocs.cn/l/cbHMdxHzx6N8" TargetMode="External"/><Relationship Id="rId120" Type="http://schemas.openxmlformats.org/officeDocument/2006/relationships/hyperlink" Target="https://kdocs.cn/l/cvMbrZwqA0jq" TargetMode="External"/><Relationship Id="rId12" Type="http://schemas.openxmlformats.org/officeDocument/2006/relationships/hyperlink" Target="https://kdocs.cn/l/cbsRDkZumvPd" TargetMode="External"/><Relationship Id="rId119" Type="http://schemas.openxmlformats.org/officeDocument/2006/relationships/hyperlink" Target="https://kdocs.cn/l/cdmXnNSDXOWd" TargetMode="External"/><Relationship Id="rId118" Type="http://schemas.openxmlformats.org/officeDocument/2006/relationships/hyperlink" Target="https://kdocs.cn/l/cpH5LMUcj8Q6" TargetMode="External"/><Relationship Id="rId117" Type="http://schemas.openxmlformats.org/officeDocument/2006/relationships/hyperlink" Target="https://kdocs.cn/l/cpjEr3mpicbD" TargetMode="External"/><Relationship Id="rId116" Type="http://schemas.openxmlformats.org/officeDocument/2006/relationships/hyperlink" Target="https://kdocs.cn/l/cuStAl4HHyIO" TargetMode="External"/><Relationship Id="rId115" Type="http://schemas.openxmlformats.org/officeDocument/2006/relationships/hyperlink" Target="https://kdocs.cn/l/ciRzMip8MD03" TargetMode="External"/><Relationship Id="rId114" Type="http://schemas.openxmlformats.org/officeDocument/2006/relationships/hyperlink" Target="https://kdocs.cn/l/crngBeH0vCID" TargetMode="External"/><Relationship Id="rId113" Type="http://schemas.openxmlformats.org/officeDocument/2006/relationships/hyperlink" Target="https://kdocs.cn/l/cjBr8AFqYRaJ" TargetMode="External"/><Relationship Id="rId112" Type="http://schemas.openxmlformats.org/officeDocument/2006/relationships/hyperlink" Target="https://kdocs.cn/l/cn6NuEb7ULak" TargetMode="External"/><Relationship Id="rId111" Type="http://schemas.openxmlformats.org/officeDocument/2006/relationships/hyperlink" Target="https://kdocs.cn/l/cvG7HQnMGDh1" TargetMode="External"/><Relationship Id="rId110" Type="http://schemas.openxmlformats.org/officeDocument/2006/relationships/hyperlink" Target="https://kdocs.cn/l/ck61p7IDyBQ8" TargetMode="External"/><Relationship Id="rId11" Type="http://schemas.openxmlformats.org/officeDocument/2006/relationships/hyperlink" Target="https://kdocs.cn/l/caAYPv6LrvBu" TargetMode="External"/><Relationship Id="rId109" Type="http://schemas.openxmlformats.org/officeDocument/2006/relationships/hyperlink" Target="https://kdocs.cn/l/clhmVI2UM5Mg" TargetMode="External"/><Relationship Id="rId108" Type="http://schemas.openxmlformats.org/officeDocument/2006/relationships/hyperlink" Target="https://kdocs.cn/l/cdI1PHsnuNCB" TargetMode="External"/><Relationship Id="rId107" Type="http://schemas.openxmlformats.org/officeDocument/2006/relationships/hyperlink" Target="https://kdocs.cn/l/ct5qNl8RwBoJ" TargetMode="External"/><Relationship Id="rId106" Type="http://schemas.openxmlformats.org/officeDocument/2006/relationships/hyperlink" Target="https://kdocs.cn/l/cbzt295UkrX1" TargetMode="External"/><Relationship Id="rId105" Type="http://schemas.openxmlformats.org/officeDocument/2006/relationships/hyperlink" Target="https://kdocs.cn/l/cgDQ4n2bO75T" TargetMode="External"/><Relationship Id="rId104" Type="http://schemas.openxmlformats.org/officeDocument/2006/relationships/hyperlink" Target="https://kdocs.cn/l/cndMAmfzecix" TargetMode="External"/><Relationship Id="rId103" Type="http://schemas.openxmlformats.org/officeDocument/2006/relationships/hyperlink" Target="https://kdocs.cn/l/coziRNnsNLtW" TargetMode="External"/><Relationship Id="rId102" Type="http://schemas.openxmlformats.org/officeDocument/2006/relationships/hyperlink" Target="https://kdocs.cn/l/ch5zqTO5WSWo" TargetMode="External"/><Relationship Id="rId101" Type="http://schemas.openxmlformats.org/officeDocument/2006/relationships/hyperlink" Target="https://kdocs.cn/l/cga1hCKuvh8C" TargetMode="External"/><Relationship Id="rId100" Type="http://schemas.openxmlformats.org/officeDocument/2006/relationships/hyperlink" Target="https://kdocs.cn/l/cs86NpDKeqWb" TargetMode="External"/><Relationship Id="rId10" Type="http://schemas.openxmlformats.org/officeDocument/2006/relationships/hyperlink" Target="https://kdocs.cn/l/crWpBQ35Wraz" TargetMode="External"/><Relationship Id="rId1" Type="http://schemas.openxmlformats.org/officeDocument/2006/relationships/hyperlink" Target="https://kdocs.cn/l/ctZ15o5TUWG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91"/>
  <sheetViews>
    <sheetView tabSelected="1" zoomScale="85" zoomScaleNormal="85" topLeftCell="B1" workbookViewId="0">
      <pane ySplit="1" topLeftCell="A21" activePane="bottomLeft" state="frozen"/>
      <selection/>
      <selection pane="bottomLeft" activeCell="Y29" sqref="Y29"/>
    </sheetView>
  </sheetViews>
  <sheetFormatPr defaultColWidth="9" defaultRowHeight="16.8"/>
  <cols>
    <col min="1" max="1" width="5.19230769230769" style="2" customWidth="1"/>
    <col min="2" max="2" width="12.8173076923077" style="3" customWidth="1"/>
    <col min="3" max="4" width="7.30769230769231" style="2" customWidth="1"/>
    <col min="5" max="5" width="12.8173076923077" style="2" customWidth="1"/>
    <col min="6" max="6" width="13" style="2" customWidth="1"/>
    <col min="7" max="7" width="14.8076923076923" style="2" customWidth="1"/>
    <col min="8" max="8" width="15.9615384615385" style="2" customWidth="1"/>
    <col min="9" max="9" width="8.85576923076923" style="2" customWidth="1"/>
    <col min="10" max="10" width="7.30769230769231" style="2" customWidth="1"/>
    <col min="11" max="11" width="19.2307692307692" style="2" customWidth="1"/>
    <col min="12" max="13" width="7.30769230769231" style="2" customWidth="1"/>
    <col min="14" max="14" width="17.1153846153846" style="2" customWidth="1"/>
    <col min="15" max="15" width="14.4230769230769" style="2" customWidth="1"/>
    <col min="16" max="16" width="14.8076923076923" style="2" customWidth="1"/>
    <col min="17" max="19" width="13" style="2" customWidth="1"/>
    <col min="20" max="20" width="14.8076923076923" style="2" customWidth="1"/>
    <col min="21" max="21" width="15.2307692307692" style="2" customWidth="1"/>
    <col min="22" max="22" width="9.41346153846154" style="4" customWidth="1"/>
    <col min="23" max="23" width="9.42307692307692" style="2" customWidth="1"/>
    <col min="24" max="24" width="6.69230769230769" style="2" customWidth="1"/>
    <col min="25" max="25" width="15.4519230769231" style="2" customWidth="1"/>
    <col min="26" max="26" width="16.0288461538462" style="2" customWidth="1"/>
    <col min="27" max="27" width="5.19230769230769" style="2" customWidth="1"/>
    <col min="28" max="16384" width="9" style="2"/>
  </cols>
  <sheetData>
    <row r="1" s="1" customFormat="1" ht="34" spans="1:27">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0" t="s">
        <v>21</v>
      </c>
      <c r="W1" s="1" t="s">
        <v>22</v>
      </c>
      <c r="X1" s="1" t="s">
        <v>23</v>
      </c>
      <c r="Y1" s="1" t="s">
        <v>24</v>
      </c>
      <c r="Z1" s="1" t="s">
        <v>25</v>
      </c>
      <c r="AA1" s="1" t="s">
        <v>26</v>
      </c>
    </row>
    <row r="2" s="1" customFormat="1" ht="84" hidden="1" spans="1:26">
      <c r="A2" s="1">
        <v>1</v>
      </c>
      <c r="B2" s="5"/>
      <c r="C2" s="2" t="s">
        <v>27</v>
      </c>
      <c r="D2" s="2" t="s">
        <v>28</v>
      </c>
      <c r="E2" s="1" t="s">
        <v>29</v>
      </c>
      <c r="F2" s="1">
        <v>11400000</v>
      </c>
      <c r="G2" s="1" t="s">
        <v>30</v>
      </c>
      <c r="H2" s="1" t="s">
        <v>31</v>
      </c>
      <c r="I2" s="2" t="s">
        <v>32</v>
      </c>
      <c r="J2" s="1" t="s">
        <v>33</v>
      </c>
      <c r="K2" s="1" t="s">
        <v>34</v>
      </c>
      <c r="V2" s="10"/>
      <c r="Y2" s="11"/>
      <c r="Z2" s="11" t="s">
        <v>35</v>
      </c>
    </row>
    <row r="3" s="1" customFormat="1" ht="84" hidden="1" spans="1:26">
      <c r="A3" s="1">
        <v>2</v>
      </c>
      <c r="B3" s="5"/>
      <c r="C3" s="2" t="s">
        <v>27</v>
      </c>
      <c r="D3" s="2" t="s">
        <v>28</v>
      </c>
      <c r="E3" s="1" t="s">
        <v>36</v>
      </c>
      <c r="F3" s="1">
        <v>6400000</v>
      </c>
      <c r="G3" s="1" t="s">
        <v>37</v>
      </c>
      <c r="H3" s="1" t="s">
        <v>38</v>
      </c>
      <c r="I3" s="2" t="s">
        <v>32</v>
      </c>
      <c r="J3" s="2" t="s">
        <v>39</v>
      </c>
      <c r="K3" s="1" t="s">
        <v>40</v>
      </c>
      <c r="V3" s="10"/>
      <c r="Z3" s="11" t="s">
        <v>41</v>
      </c>
    </row>
    <row r="4" s="1" customFormat="1" ht="84" hidden="1" spans="1:26">
      <c r="A4" s="1">
        <v>3</v>
      </c>
      <c r="B4" s="5"/>
      <c r="C4" s="2" t="s">
        <v>27</v>
      </c>
      <c r="D4" s="2" t="s">
        <v>28</v>
      </c>
      <c r="E4" s="1" t="s">
        <v>42</v>
      </c>
      <c r="F4" s="1">
        <v>4900000</v>
      </c>
      <c r="G4" s="1" t="s">
        <v>43</v>
      </c>
      <c r="H4" s="1" t="s">
        <v>44</v>
      </c>
      <c r="I4" s="2" t="s">
        <v>32</v>
      </c>
      <c r="J4" s="2" t="s">
        <v>39</v>
      </c>
      <c r="K4" s="1" t="s">
        <v>40</v>
      </c>
      <c r="V4" s="10"/>
      <c r="Z4" s="11" t="s">
        <v>45</v>
      </c>
    </row>
    <row r="5" s="1" customFormat="1" ht="101" hidden="1" spans="1:26">
      <c r="A5" s="1">
        <v>4</v>
      </c>
      <c r="B5" s="5"/>
      <c r="C5" s="2" t="s">
        <v>27</v>
      </c>
      <c r="D5" s="2" t="s">
        <v>28</v>
      </c>
      <c r="E5" s="1" t="s">
        <v>46</v>
      </c>
      <c r="F5" s="1">
        <v>10840000</v>
      </c>
      <c r="G5" s="1" t="s">
        <v>30</v>
      </c>
      <c r="H5" s="1" t="s">
        <v>47</v>
      </c>
      <c r="I5" s="2" t="s">
        <v>32</v>
      </c>
      <c r="J5" s="2" t="s">
        <v>39</v>
      </c>
      <c r="K5" s="1" t="s">
        <v>40</v>
      </c>
      <c r="V5" s="10"/>
      <c r="Z5" s="11" t="s">
        <v>48</v>
      </c>
    </row>
    <row r="6" ht="84" hidden="1" spans="1:26">
      <c r="A6" s="1">
        <v>5</v>
      </c>
      <c r="C6" s="2" t="s">
        <v>27</v>
      </c>
      <c r="D6" s="2" t="s">
        <v>28</v>
      </c>
      <c r="E6" s="2" t="s">
        <v>49</v>
      </c>
      <c r="F6" s="2">
        <v>18230000</v>
      </c>
      <c r="G6" s="2" t="s">
        <v>50</v>
      </c>
      <c r="H6" s="2" t="s">
        <v>44</v>
      </c>
      <c r="I6" s="2" t="s">
        <v>32</v>
      </c>
      <c r="J6" s="2" t="s">
        <v>39</v>
      </c>
      <c r="K6" s="1" t="s">
        <v>40</v>
      </c>
      <c r="Z6" s="12" t="s">
        <v>51</v>
      </c>
    </row>
    <row r="7" ht="84" spans="1:26">
      <c r="A7" s="1">
        <v>6</v>
      </c>
      <c r="C7" s="2" t="s">
        <v>27</v>
      </c>
      <c r="D7" s="2" t="s">
        <v>28</v>
      </c>
      <c r="E7" s="2" t="s">
        <v>52</v>
      </c>
      <c r="F7" s="2">
        <v>2085040000</v>
      </c>
      <c r="G7" s="2" t="s">
        <v>53</v>
      </c>
      <c r="H7" s="2" t="s">
        <v>44</v>
      </c>
      <c r="I7" s="2" t="s">
        <v>8</v>
      </c>
      <c r="J7" s="1" t="s">
        <v>33</v>
      </c>
      <c r="K7" s="2" t="s">
        <v>54</v>
      </c>
      <c r="Z7" s="12" t="s">
        <v>55</v>
      </c>
    </row>
    <row r="8" ht="101" spans="1:26">
      <c r="A8" s="1">
        <v>7</v>
      </c>
      <c r="B8" s="3">
        <v>45786</v>
      </c>
      <c r="C8" s="2" t="s">
        <v>27</v>
      </c>
      <c r="D8" s="2" t="s">
        <v>28</v>
      </c>
      <c r="E8" s="2" t="s">
        <v>56</v>
      </c>
      <c r="F8" s="2">
        <v>178303177.65</v>
      </c>
      <c r="G8" s="2" t="s">
        <v>57</v>
      </c>
      <c r="H8" s="2" t="s">
        <v>44</v>
      </c>
      <c r="I8" s="2" t="s">
        <v>32</v>
      </c>
      <c r="J8" s="1" t="s">
        <v>33</v>
      </c>
      <c r="K8" s="2" t="s">
        <v>54</v>
      </c>
      <c r="L8" s="2">
        <v>22</v>
      </c>
      <c r="M8" s="2">
        <v>0</v>
      </c>
      <c r="N8" s="2" t="s">
        <v>58</v>
      </c>
      <c r="O8" s="2" t="s">
        <v>59</v>
      </c>
      <c r="P8" s="2" t="s">
        <v>60</v>
      </c>
      <c r="Q8" s="2">
        <v>159599174.31</v>
      </c>
      <c r="R8" s="2">
        <v>159973610.99</v>
      </c>
      <c r="S8" s="2">
        <v>159082095.1</v>
      </c>
      <c r="T8" s="2" t="s">
        <v>61</v>
      </c>
      <c r="U8" s="2">
        <v>159599174.31</v>
      </c>
      <c r="V8" s="4">
        <f>1-U8/F8</f>
        <v>0.104900000025322</v>
      </c>
      <c r="Y8" s="13" t="s">
        <v>62</v>
      </c>
      <c r="Z8" s="13" t="s">
        <v>63</v>
      </c>
    </row>
    <row r="9" ht="185" spans="1:26">
      <c r="A9" s="1">
        <v>8</v>
      </c>
      <c r="C9" s="2" t="s">
        <v>27</v>
      </c>
      <c r="D9" s="2" t="s">
        <v>28</v>
      </c>
      <c r="E9" s="2" t="s">
        <v>64</v>
      </c>
      <c r="F9" s="2">
        <v>8600000</v>
      </c>
      <c r="G9" s="2" t="s">
        <v>30</v>
      </c>
      <c r="H9" s="2" t="s">
        <v>31</v>
      </c>
      <c r="I9" s="2" t="s">
        <v>8</v>
      </c>
      <c r="J9" s="1" t="s">
        <v>33</v>
      </c>
      <c r="K9" s="2" t="s">
        <v>54</v>
      </c>
      <c r="Z9" s="12" t="s">
        <v>65</v>
      </c>
    </row>
    <row r="10" ht="68" spans="1:26">
      <c r="A10" s="1">
        <v>9</v>
      </c>
      <c r="C10" s="2" t="s">
        <v>27</v>
      </c>
      <c r="D10" s="2" t="s">
        <v>28</v>
      </c>
      <c r="E10" s="2" t="s">
        <v>66</v>
      </c>
      <c r="F10" s="2">
        <v>8600000</v>
      </c>
      <c r="G10" s="2" t="s">
        <v>30</v>
      </c>
      <c r="H10" s="2" t="s">
        <v>31</v>
      </c>
      <c r="I10" s="2" t="s">
        <v>8</v>
      </c>
      <c r="J10" s="1" t="s">
        <v>33</v>
      </c>
      <c r="K10" s="2" t="s">
        <v>54</v>
      </c>
      <c r="Z10" s="12" t="s">
        <v>67</v>
      </c>
    </row>
    <row r="11" ht="84" hidden="1" spans="1:26">
      <c r="A11" s="1">
        <v>10</v>
      </c>
      <c r="B11" s="3">
        <v>45758</v>
      </c>
      <c r="C11" s="2" t="s">
        <v>27</v>
      </c>
      <c r="D11" s="2" t="s">
        <v>28</v>
      </c>
      <c r="E11" s="2" t="s">
        <v>68</v>
      </c>
      <c r="F11" s="6">
        <v>4356959.76</v>
      </c>
      <c r="G11" s="2" t="s">
        <v>69</v>
      </c>
      <c r="H11" s="2" t="s">
        <v>70</v>
      </c>
      <c r="I11" s="2" t="s">
        <v>32</v>
      </c>
      <c r="J11" s="2" t="s">
        <v>39</v>
      </c>
      <c r="K11" s="1" t="s">
        <v>40</v>
      </c>
      <c r="L11" s="2">
        <v>282</v>
      </c>
      <c r="M11" s="2">
        <v>1</v>
      </c>
      <c r="N11" s="2" t="s">
        <v>71</v>
      </c>
      <c r="O11" s="2" t="s">
        <v>72</v>
      </c>
      <c r="P11" s="2" t="s">
        <v>73</v>
      </c>
      <c r="Q11" s="2">
        <v>3970128.23</v>
      </c>
      <c r="R11" s="2">
        <v>3972389.27</v>
      </c>
      <c r="S11" s="2">
        <v>3974468.98</v>
      </c>
      <c r="T11" s="2" t="s">
        <v>71</v>
      </c>
      <c r="U11" s="2">
        <v>3970128.23</v>
      </c>
      <c r="V11" s="4">
        <f t="shared" ref="V9:V40" si="0">1-U11/F11</f>
        <v>0.0887847378236974</v>
      </c>
      <c r="Y11" s="13" t="s">
        <v>74</v>
      </c>
      <c r="Z11" s="12" t="s">
        <v>75</v>
      </c>
    </row>
    <row r="12" ht="84" hidden="1" spans="1:26">
      <c r="A12" s="1">
        <v>11</v>
      </c>
      <c r="B12" s="3">
        <v>45747</v>
      </c>
      <c r="C12" s="2" t="s">
        <v>27</v>
      </c>
      <c r="D12" s="2" t="s">
        <v>28</v>
      </c>
      <c r="E12" s="2" t="s">
        <v>76</v>
      </c>
      <c r="F12" s="2">
        <v>8823252.46</v>
      </c>
      <c r="G12" s="2" t="s">
        <v>57</v>
      </c>
      <c r="H12" s="2" t="s">
        <v>44</v>
      </c>
      <c r="I12" s="2" t="s">
        <v>32</v>
      </c>
      <c r="J12" s="2" t="s">
        <v>39</v>
      </c>
      <c r="K12" s="2" t="s">
        <v>77</v>
      </c>
      <c r="L12" s="2">
        <v>54</v>
      </c>
      <c r="M12" s="2">
        <v>0</v>
      </c>
      <c r="N12" s="2" t="s">
        <v>78</v>
      </c>
      <c r="O12" s="2" t="s">
        <v>79</v>
      </c>
      <c r="P12" s="2" t="s">
        <v>80</v>
      </c>
      <c r="Q12" s="2">
        <v>3350073.02</v>
      </c>
      <c r="R12" s="2">
        <v>3395257.07</v>
      </c>
      <c r="S12" s="2">
        <v>3778116.7</v>
      </c>
      <c r="T12" s="2" t="s">
        <v>78</v>
      </c>
      <c r="U12" s="2">
        <v>3350073.02</v>
      </c>
      <c r="V12" s="4">
        <f t="shared" si="0"/>
        <v>0.620313140172802</v>
      </c>
      <c r="Y12" s="12" t="s">
        <v>81</v>
      </c>
      <c r="Z12" s="12" t="s">
        <v>82</v>
      </c>
    </row>
    <row r="13" ht="51" hidden="1" spans="1:26">
      <c r="A13" s="1">
        <v>12</v>
      </c>
      <c r="B13" s="3">
        <v>45737</v>
      </c>
      <c r="C13" s="2" t="s">
        <v>27</v>
      </c>
      <c r="D13" s="2" t="s">
        <v>28</v>
      </c>
      <c r="E13" s="2" t="s">
        <v>83</v>
      </c>
      <c r="F13" s="2">
        <v>4016275.36</v>
      </c>
      <c r="G13" s="2" t="s">
        <v>84</v>
      </c>
      <c r="H13" s="2" t="s">
        <v>44</v>
      </c>
      <c r="I13" s="2" t="s">
        <v>32</v>
      </c>
      <c r="J13" s="2" t="s">
        <v>39</v>
      </c>
      <c r="K13" s="1" t="s">
        <v>40</v>
      </c>
      <c r="L13" s="2">
        <v>254</v>
      </c>
      <c r="M13" s="2">
        <v>3</v>
      </c>
      <c r="N13" s="2" t="s">
        <v>85</v>
      </c>
      <c r="O13" s="2" t="s">
        <v>86</v>
      </c>
      <c r="P13" s="2" t="s">
        <v>87</v>
      </c>
      <c r="Q13" s="2">
        <v>3627206.49</v>
      </c>
      <c r="R13" s="2">
        <v>3628443.98</v>
      </c>
      <c r="S13" s="2">
        <v>3634060.28</v>
      </c>
      <c r="T13" s="2" t="s">
        <v>85</v>
      </c>
      <c r="U13" s="2">
        <v>3627206.49</v>
      </c>
      <c r="V13" s="4">
        <f t="shared" si="0"/>
        <v>0.0968730565326575</v>
      </c>
      <c r="W13" s="2">
        <v>16.75</v>
      </c>
      <c r="Y13" s="12" t="s">
        <v>88</v>
      </c>
      <c r="Z13" s="12" t="s">
        <v>89</v>
      </c>
    </row>
    <row r="14" ht="118" spans="1:26">
      <c r="A14" s="1">
        <v>13</v>
      </c>
      <c r="B14" s="3">
        <v>45728</v>
      </c>
      <c r="C14" s="2" t="s">
        <v>27</v>
      </c>
      <c r="D14" s="2" t="s">
        <v>28</v>
      </c>
      <c r="E14" s="2" t="s">
        <v>90</v>
      </c>
      <c r="F14" s="2">
        <v>14946900</v>
      </c>
      <c r="G14" s="2" t="s">
        <v>91</v>
      </c>
      <c r="H14" s="2" t="s">
        <v>38</v>
      </c>
      <c r="I14" s="2" t="s">
        <v>8</v>
      </c>
      <c r="J14" s="1" t="s">
        <v>33</v>
      </c>
      <c r="K14" s="2" t="s">
        <v>54</v>
      </c>
      <c r="L14" s="2">
        <v>13</v>
      </c>
      <c r="M14" s="2">
        <v>3</v>
      </c>
      <c r="N14" s="2" t="s">
        <v>92</v>
      </c>
      <c r="O14" s="2" t="s">
        <v>93</v>
      </c>
      <c r="P14" s="2" t="s">
        <v>94</v>
      </c>
      <c r="Q14" s="2">
        <v>13269857.82</v>
      </c>
      <c r="R14" s="2">
        <v>13262384.37</v>
      </c>
      <c r="S14" s="2">
        <v>13078538</v>
      </c>
      <c r="T14" s="2" t="s">
        <v>95</v>
      </c>
      <c r="U14" s="2">
        <v>13262384.37</v>
      </c>
      <c r="V14" s="4">
        <f t="shared" si="0"/>
        <v>0.1127</v>
      </c>
      <c r="Y14" s="13" t="s">
        <v>96</v>
      </c>
      <c r="Z14" s="12" t="s">
        <v>97</v>
      </c>
    </row>
    <row r="15" ht="106" spans="1:26">
      <c r="A15" s="2">
        <v>14</v>
      </c>
      <c r="B15" s="3">
        <v>45728</v>
      </c>
      <c r="C15" s="2" t="s">
        <v>27</v>
      </c>
      <c r="D15" s="2" t="s">
        <v>28</v>
      </c>
      <c r="E15" s="2" t="s">
        <v>98</v>
      </c>
      <c r="F15" s="2">
        <v>306897500</v>
      </c>
      <c r="G15" s="2" t="s">
        <v>99</v>
      </c>
      <c r="H15" s="2" t="s">
        <v>70</v>
      </c>
      <c r="I15" s="2" t="s">
        <v>8</v>
      </c>
      <c r="J15" s="1" t="s">
        <v>33</v>
      </c>
      <c r="K15" s="2" t="s">
        <v>54</v>
      </c>
      <c r="L15" s="2">
        <v>20</v>
      </c>
      <c r="M15" s="2">
        <v>0</v>
      </c>
      <c r="N15" s="2" t="s">
        <v>100</v>
      </c>
      <c r="O15" s="2" t="s">
        <v>101</v>
      </c>
      <c r="P15" s="6" t="s">
        <v>102</v>
      </c>
      <c r="Q15" s="8">
        <v>276207750</v>
      </c>
      <c r="R15" s="2">
        <v>274826711.25</v>
      </c>
      <c r="S15" s="8">
        <v>274857401</v>
      </c>
      <c r="T15" s="2" t="s">
        <v>100</v>
      </c>
      <c r="U15" s="8">
        <v>276207750</v>
      </c>
      <c r="V15" s="4">
        <f t="shared" si="0"/>
        <v>0.1</v>
      </c>
      <c r="W15" s="8"/>
      <c r="Y15" s="13" t="s">
        <v>103</v>
      </c>
      <c r="Z15" s="13" t="s">
        <v>104</v>
      </c>
    </row>
    <row r="16" ht="185" spans="1:26">
      <c r="A16" s="2">
        <v>15</v>
      </c>
      <c r="B16" s="3">
        <v>45727</v>
      </c>
      <c r="C16" s="2" t="s">
        <v>27</v>
      </c>
      <c r="D16" s="2" t="s">
        <v>28</v>
      </c>
      <c r="E16" s="2" t="s">
        <v>105</v>
      </c>
      <c r="F16" s="2">
        <v>106200338.46</v>
      </c>
      <c r="G16" s="2" t="s">
        <v>106</v>
      </c>
      <c r="H16" s="2" t="s">
        <v>31</v>
      </c>
      <c r="I16" s="2" t="s">
        <v>32</v>
      </c>
      <c r="J16" s="1" t="s">
        <v>33</v>
      </c>
      <c r="K16" s="2" t="s">
        <v>54</v>
      </c>
      <c r="L16" s="2">
        <v>49</v>
      </c>
      <c r="M16" s="2">
        <v>1</v>
      </c>
      <c r="N16" s="2" t="s">
        <v>107</v>
      </c>
      <c r="O16" s="2" t="s">
        <v>108</v>
      </c>
      <c r="P16" s="2" t="s">
        <v>109</v>
      </c>
      <c r="Q16" s="2">
        <v>92797855.75</v>
      </c>
      <c r="R16" s="2">
        <v>92415534.53</v>
      </c>
      <c r="S16" s="2">
        <v>92989016.36</v>
      </c>
      <c r="T16" s="2" t="s">
        <v>107</v>
      </c>
      <c r="U16" s="2">
        <v>92797855.75</v>
      </c>
      <c r="V16" s="4">
        <f t="shared" si="0"/>
        <v>0.126199999965612</v>
      </c>
      <c r="X16" s="2">
        <v>1</v>
      </c>
      <c r="Y16" s="13" t="s">
        <v>110</v>
      </c>
      <c r="Z16" s="13" t="s">
        <v>111</v>
      </c>
    </row>
    <row r="17" ht="101" hidden="1" spans="1:26">
      <c r="A17" s="2">
        <v>16</v>
      </c>
      <c r="B17" s="3">
        <v>45707</v>
      </c>
      <c r="C17" s="2" t="s">
        <v>27</v>
      </c>
      <c r="D17" s="2" t="s">
        <v>28</v>
      </c>
      <c r="E17" s="2" t="s">
        <v>112</v>
      </c>
      <c r="F17" s="2">
        <v>10377631.91</v>
      </c>
      <c r="G17" s="7" t="s">
        <v>106</v>
      </c>
      <c r="H17" s="2" t="s">
        <v>113</v>
      </c>
      <c r="I17" s="2" t="s">
        <v>32</v>
      </c>
      <c r="J17" s="2" t="s">
        <v>39</v>
      </c>
      <c r="K17" s="2" t="s">
        <v>114</v>
      </c>
      <c r="L17" s="2">
        <v>47</v>
      </c>
      <c r="M17" s="2">
        <v>2</v>
      </c>
      <c r="N17" s="2" t="s">
        <v>115</v>
      </c>
      <c r="O17" s="2" t="s">
        <v>116</v>
      </c>
      <c r="P17" s="2" t="s">
        <v>117</v>
      </c>
      <c r="Q17" s="8">
        <v>9438677.3</v>
      </c>
      <c r="R17" s="2">
        <v>9439566.01</v>
      </c>
      <c r="S17" s="2">
        <v>9442275.19</v>
      </c>
      <c r="T17" s="2" t="s">
        <v>115</v>
      </c>
      <c r="U17" s="8">
        <v>9438677.3</v>
      </c>
      <c r="V17" s="4">
        <f t="shared" si="0"/>
        <v>0.0904786966952655</v>
      </c>
      <c r="Y17" s="12" t="s">
        <v>118</v>
      </c>
      <c r="Z17" s="12" t="s">
        <v>119</v>
      </c>
    </row>
    <row r="18" ht="84" hidden="1" spans="1:26">
      <c r="A18" s="2">
        <v>17</v>
      </c>
      <c r="B18" s="3">
        <v>45702</v>
      </c>
      <c r="C18" s="2" t="s">
        <v>27</v>
      </c>
      <c r="D18" s="2" t="s">
        <v>28</v>
      </c>
      <c r="E18" s="2" t="s">
        <v>120</v>
      </c>
      <c r="F18" s="2">
        <v>7333873.53</v>
      </c>
      <c r="G18" s="2" t="s">
        <v>121</v>
      </c>
      <c r="H18" s="2" t="s">
        <v>44</v>
      </c>
      <c r="I18" s="2" t="s">
        <v>32</v>
      </c>
      <c r="J18" s="2" t="s">
        <v>39</v>
      </c>
      <c r="K18" s="2" t="s">
        <v>114</v>
      </c>
      <c r="L18" s="2">
        <v>384</v>
      </c>
      <c r="M18" s="2">
        <v>2</v>
      </c>
      <c r="N18" s="2" t="s">
        <v>122</v>
      </c>
      <c r="O18" s="2" t="s">
        <v>123</v>
      </c>
      <c r="P18" s="2" t="s">
        <v>115</v>
      </c>
      <c r="Q18" s="2">
        <v>6538482.33</v>
      </c>
      <c r="R18" s="2">
        <v>6550840.71</v>
      </c>
      <c r="S18" s="2">
        <v>6550862.29</v>
      </c>
      <c r="T18" s="2" t="s">
        <v>122</v>
      </c>
      <c r="U18" s="2">
        <v>6538482.33</v>
      </c>
      <c r="V18" s="4">
        <f t="shared" si="0"/>
        <v>0.108454447263969</v>
      </c>
      <c r="Y18" s="12" t="s">
        <v>124</v>
      </c>
      <c r="Z18" s="12" t="s">
        <v>125</v>
      </c>
    </row>
    <row r="19" ht="118" hidden="1" spans="1:26">
      <c r="A19" s="2">
        <v>18</v>
      </c>
      <c r="B19" s="3">
        <v>45700</v>
      </c>
      <c r="C19" s="2" t="s">
        <v>27</v>
      </c>
      <c r="D19" s="2" t="s">
        <v>28</v>
      </c>
      <c r="E19" s="2" t="s">
        <v>126</v>
      </c>
      <c r="F19" s="2">
        <v>9724884.29</v>
      </c>
      <c r="G19" s="2" t="s">
        <v>127</v>
      </c>
      <c r="H19" s="2" t="s">
        <v>128</v>
      </c>
      <c r="I19" s="2" t="s">
        <v>32</v>
      </c>
      <c r="J19" s="2" t="s">
        <v>39</v>
      </c>
      <c r="K19" s="2" t="s">
        <v>114</v>
      </c>
      <c r="L19" s="2">
        <v>521</v>
      </c>
      <c r="M19" s="2">
        <v>0</v>
      </c>
      <c r="N19" s="2" t="s">
        <v>129</v>
      </c>
      <c r="O19" s="2" t="s">
        <v>130</v>
      </c>
      <c r="P19" s="2" t="s">
        <v>131</v>
      </c>
      <c r="Q19" s="2">
        <v>8766539.73</v>
      </c>
      <c r="R19" s="2">
        <v>8768707.21</v>
      </c>
      <c r="S19" s="2">
        <v>8777151.66</v>
      </c>
      <c r="T19" s="2" t="s">
        <v>129</v>
      </c>
      <c r="U19" s="2">
        <v>8766539.73</v>
      </c>
      <c r="V19" s="4">
        <f t="shared" si="0"/>
        <v>0.0985456002788079</v>
      </c>
      <c r="Y19" s="12" t="s">
        <v>132</v>
      </c>
      <c r="Z19" s="12" t="s">
        <v>133</v>
      </c>
    </row>
    <row r="20" ht="101" hidden="1" spans="1:26">
      <c r="A20" s="2">
        <v>19</v>
      </c>
      <c r="B20" s="3">
        <v>45699</v>
      </c>
      <c r="C20" s="2" t="s">
        <v>27</v>
      </c>
      <c r="D20" s="2" t="s">
        <v>28</v>
      </c>
      <c r="E20" s="2" t="s">
        <v>134</v>
      </c>
      <c r="F20" s="2">
        <v>99851297.43</v>
      </c>
      <c r="G20" s="2" t="s">
        <v>135</v>
      </c>
      <c r="H20" s="2" t="s">
        <v>128</v>
      </c>
      <c r="I20" s="2" t="s">
        <v>32</v>
      </c>
      <c r="J20" s="2" t="s">
        <v>39</v>
      </c>
      <c r="K20" s="2" t="s">
        <v>114</v>
      </c>
      <c r="L20" s="2">
        <v>924</v>
      </c>
      <c r="M20" s="2">
        <v>0</v>
      </c>
      <c r="N20" s="2" t="s">
        <v>136</v>
      </c>
      <c r="O20" s="2" t="s">
        <v>137</v>
      </c>
      <c r="P20" s="2" t="s">
        <v>138</v>
      </c>
      <c r="Q20" s="2">
        <v>88943572.95</v>
      </c>
      <c r="R20" s="2">
        <v>88943579.81</v>
      </c>
      <c r="S20" s="2">
        <v>88943591.65</v>
      </c>
      <c r="T20" s="2" t="s">
        <v>136</v>
      </c>
      <c r="U20" s="2">
        <v>88943572.95</v>
      </c>
      <c r="V20" s="4">
        <f t="shared" si="0"/>
        <v>0.109239687022062</v>
      </c>
      <c r="Y20" s="12" t="s">
        <v>139</v>
      </c>
      <c r="Z20" s="12" t="s">
        <v>140</v>
      </c>
    </row>
    <row r="21" ht="185" spans="1:26">
      <c r="A21" s="2">
        <v>20</v>
      </c>
      <c r="B21" s="3">
        <v>45696</v>
      </c>
      <c r="C21" s="2" t="s">
        <v>27</v>
      </c>
      <c r="D21" s="2" t="s">
        <v>28</v>
      </c>
      <c r="E21" s="2" t="s">
        <v>141</v>
      </c>
      <c r="F21" s="2">
        <v>1205915300</v>
      </c>
      <c r="G21" s="2" t="s">
        <v>142</v>
      </c>
      <c r="H21" s="2" t="s">
        <v>38</v>
      </c>
      <c r="I21" s="2" t="s">
        <v>8</v>
      </c>
      <c r="J21" s="1" t="s">
        <v>33</v>
      </c>
      <c r="K21" s="2" t="s">
        <v>54</v>
      </c>
      <c r="L21" s="2">
        <v>13</v>
      </c>
      <c r="M21" s="2">
        <v>1</v>
      </c>
      <c r="N21" s="2" t="s">
        <v>143</v>
      </c>
      <c r="O21" s="2" t="s">
        <v>144</v>
      </c>
      <c r="P21" s="2" t="s">
        <v>145</v>
      </c>
      <c r="Q21" s="8">
        <v>1109442076</v>
      </c>
      <c r="R21" s="2">
        <v>1105221372.45</v>
      </c>
      <c r="S21" s="8">
        <v>1110647991.3</v>
      </c>
      <c r="T21" s="2" t="s">
        <v>143</v>
      </c>
      <c r="U21" s="8">
        <v>1109442076</v>
      </c>
      <c r="V21" s="4">
        <f t="shared" si="0"/>
        <v>0.08</v>
      </c>
      <c r="Y21" s="12" t="s">
        <v>146</v>
      </c>
      <c r="Z21" s="12" t="s">
        <v>147</v>
      </c>
    </row>
    <row r="22" ht="51" hidden="1" spans="1:26">
      <c r="A22" s="2">
        <v>21</v>
      </c>
      <c r="B22" s="3">
        <v>45678</v>
      </c>
      <c r="C22" s="2" t="s">
        <v>27</v>
      </c>
      <c r="D22" s="2" t="s">
        <v>28</v>
      </c>
      <c r="E22" s="2" t="s">
        <v>148</v>
      </c>
      <c r="F22" s="2">
        <v>6161236.49</v>
      </c>
      <c r="G22" s="2" t="s">
        <v>84</v>
      </c>
      <c r="H22" s="2" t="s">
        <v>149</v>
      </c>
      <c r="I22" s="2" t="s">
        <v>32</v>
      </c>
      <c r="J22" s="2" t="s">
        <v>39</v>
      </c>
      <c r="K22" s="2" t="s">
        <v>114</v>
      </c>
      <c r="L22" s="2">
        <v>311</v>
      </c>
      <c r="M22" s="2">
        <v>3</v>
      </c>
      <c r="N22" s="6" t="s">
        <v>150</v>
      </c>
      <c r="O22" s="2" t="s">
        <v>151</v>
      </c>
      <c r="P22" s="2" t="s">
        <v>152</v>
      </c>
      <c r="Q22" s="2">
        <v>5307997.09</v>
      </c>
      <c r="R22" s="2">
        <v>5308000.82</v>
      </c>
      <c r="S22" s="2">
        <v>5333198.54</v>
      </c>
      <c r="T22" s="6" t="s">
        <v>150</v>
      </c>
      <c r="U22" s="2">
        <v>5307997.09</v>
      </c>
      <c r="V22" s="4">
        <f t="shared" si="0"/>
        <v>0.138485091650816</v>
      </c>
      <c r="Y22" s="12" t="s">
        <v>153</v>
      </c>
      <c r="Z22" s="12" t="s">
        <v>154</v>
      </c>
    </row>
    <row r="23" ht="101" hidden="1" spans="1:26">
      <c r="A23" s="2">
        <v>22</v>
      </c>
      <c r="B23" s="3">
        <v>45679</v>
      </c>
      <c r="C23" s="2" t="s">
        <v>27</v>
      </c>
      <c r="D23" s="2" t="s">
        <v>28</v>
      </c>
      <c r="E23" s="2" t="s">
        <v>155</v>
      </c>
      <c r="F23" s="2">
        <v>4985154.29</v>
      </c>
      <c r="G23" s="2" t="s">
        <v>156</v>
      </c>
      <c r="H23" s="2" t="s">
        <v>149</v>
      </c>
      <c r="I23" s="2" t="s">
        <v>32</v>
      </c>
      <c r="J23" s="2" t="s">
        <v>39</v>
      </c>
      <c r="K23" s="2" t="s">
        <v>114</v>
      </c>
      <c r="L23" s="2">
        <v>193</v>
      </c>
      <c r="M23" s="2">
        <v>2</v>
      </c>
      <c r="N23" s="2" t="s">
        <v>157</v>
      </c>
      <c r="O23" s="2" t="s">
        <v>158</v>
      </c>
      <c r="P23" s="2" t="s">
        <v>159</v>
      </c>
      <c r="Q23" s="2">
        <v>4524636.89</v>
      </c>
      <c r="R23" s="2">
        <v>4524637.44</v>
      </c>
      <c r="S23" s="8">
        <v>4524637.6</v>
      </c>
      <c r="T23" s="2" t="s">
        <v>157</v>
      </c>
      <c r="U23" s="2">
        <v>4524636.89</v>
      </c>
      <c r="V23" s="4">
        <f t="shared" si="0"/>
        <v>0.0923777626950841</v>
      </c>
      <c r="Y23" s="12" t="s">
        <v>160</v>
      </c>
      <c r="Z23" s="12" t="s">
        <v>161</v>
      </c>
    </row>
    <row r="24" ht="101" hidden="1" spans="1:26">
      <c r="A24" s="2">
        <v>23</v>
      </c>
      <c r="B24" s="3">
        <v>45666</v>
      </c>
      <c r="C24" s="2" t="s">
        <v>27</v>
      </c>
      <c r="D24" s="2" t="s">
        <v>28</v>
      </c>
      <c r="E24" s="2" t="s">
        <v>162</v>
      </c>
      <c r="F24" s="2">
        <v>8817661.93</v>
      </c>
      <c r="G24" s="2" t="s">
        <v>43</v>
      </c>
      <c r="H24" s="2" t="s">
        <v>149</v>
      </c>
      <c r="I24" s="2" t="s">
        <v>32</v>
      </c>
      <c r="J24" s="2" t="s">
        <v>39</v>
      </c>
      <c r="K24" s="2" t="s">
        <v>114</v>
      </c>
      <c r="L24" s="2">
        <v>1024</v>
      </c>
      <c r="M24" s="2">
        <v>2</v>
      </c>
      <c r="N24" s="2" t="s">
        <v>163</v>
      </c>
      <c r="O24" s="2" t="s">
        <v>164</v>
      </c>
      <c r="P24" s="2" t="s">
        <v>165</v>
      </c>
      <c r="Q24" s="7">
        <v>7679541.17</v>
      </c>
      <c r="R24" s="2">
        <v>7679567.66</v>
      </c>
      <c r="S24" s="2">
        <v>7679571.62</v>
      </c>
      <c r="T24" s="2" t="s">
        <v>163</v>
      </c>
      <c r="U24" s="7">
        <v>7679541.17</v>
      </c>
      <c r="V24" s="4">
        <f t="shared" si="0"/>
        <v>0.129072850494281</v>
      </c>
      <c r="Y24" s="12" t="s">
        <v>166</v>
      </c>
      <c r="Z24" s="12" t="s">
        <v>167</v>
      </c>
    </row>
    <row r="25" ht="84" hidden="1" spans="1:26">
      <c r="A25" s="2">
        <v>24</v>
      </c>
      <c r="B25" s="3">
        <v>45656</v>
      </c>
      <c r="C25" s="2" t="s">
        <v>27</v>
      </c>
      <c r="D25" s="2" t="s">
        <v>28</v>
      </c>
      <c r="E25" s="2" t="s">
        <v>168</v>
      </c>
      <c r="F25" s="2">
        <v>27400000</v>
      </c>
      <c r="G25" s="2" t="s">
        <v>169</v>
      </c>
      <c r="H25" s="2" t="s">
        <v>70</v>
      </c>
      <c r="I25" s="2" t="s">
        <v>32</v>
      </c>
      <c r="J25" s="1" t="s">
        <v>33</v>
      </c>
      <c r="K25" s="2" t="s">
        <v>34</v>
      </c>
      <c r="L25" s="2">
        <v>3</v>
      </c>
      <c r="M25" s="2">
        <v>0</v>
      </c>
      <c r="N25" s="2" t="s">
        <v>170</v>
      </c>
      <c r="O25" s="2" t="s">
        <v>171</v>
      </c>
      <c r="P25" s="2" t="s">
        <v>172</v>
      </c>
      <c r="Q25" s="8">
        <v>27396000</v>
      </c>
      <c r="R25" s="2">
        <v>27250000</v>
      </c>
      <c r="S25" s="8">
        <v>27400000</v>
      </c>
      <c r="T25" s="2" t="s">
        <v>170</v>
      </c>
      <c r="U25" s="8">
        <v>27396000</v>
      </c>
      <c r="V25" s="4">
        <f t="shared" si="0"/>
        <v>0.000145985401459825</v>
      </c>
      <c r="Y25" s="12" t="s">
        <v>173</v>
      </c>
      <c r="Z25" s="12" t="s">
        <v>174</v>
      </c>
    </row>
    <row r="26" ht="101" hidden="1" spans="1:26">
      <c r="A26" s="2">
        <v>25</v>
      </c>
      <c r="B26" s="3">
        <v>45652</v>
      </c>
      <c r="C26" s="2" t="s">
        <v>27</v>
      </c>
      <c r="D26" s="2" t="s">
        <v>28</v>
      </c>
      <c r="E26" s="2" t="s">
        <v>175</v>
      </c>
      <c r="F26" s="2">
        <v>6003051.24</v>
      </c>
      <c r="G26" s="2" t="s">
        <v>176</v>
      </c>
      <c r="H26" s="6" t="s">
        <v>177</v>
      </c>
      <c r="I26" s="2" t="s">
        <v>32</v>
      </c>
      <c r="J26" s="2" t="s">
        <v>39</v>
      </c>
      <c r="K26" s="2" t="s">
        <v>114</v>
      </c>
      <c r="L26" s="2">
        <v>171</v>
      </c>
      <c r="M26" s="2">
        <v>1</v>
      </c>
      <c r="N26" s="2" t="s">
        <v>178</v>
      </c>
      <c r="O26" s="2" t="s">
        <v>179</v>
      </c>
      <c r="P26" s="2" t="s">
        <v>180</v>
      </c>
      <c r="Q26" s="2">
        <v>5249968.44</v>
      </c>
      <c r="R26" s="2">
        <v>5249969.69</v>
      </c>
      <c r="S26" s="2">
        <v>5250542.47</v>
      </c>
      <c r="T26" s="2" t="s">
        <v>178</v>
      </c>
      <c r="U26" s="2">
        <v>5249968.44</v>
      </c>
      <c r="V26" s="4">
        <f t="shared" si="0"/>
        <v>0.125450003655141</v>
      </c>
      <c r="Y26" s="12" t="s">
        <v>181</v>
      </c>
      <c r="Z26" s="12" t="s">
        <v>182</v>
      </c>
    </row>
    <row r="27" ht="101" spans="1:26">
      <c r="A27" s="2">
        <v>26</v>
      </c>
      <c r="B27" s="3">
        <v>45653</v>
      </c>
      <c r="C27" s="2" t="s">
        <v>27</v>
      </c>
      <c r="D27" s="2" t="s">
        <v>28</v>
      </c>
      <c r="E27" s="2" t="s">
        <v>183</v>
      </c>
      <c r="F27" s="2">
        <v>6129500</v>
      </c>
      <c r="G27" s="2" t="s">
        <v>184</v>
      </c>
      <c r="H27" s="6" t="s">
        <v>177</v>
      </c>
      <c r="I27" s="2" t="s">
        <v>8</v>
      </c>
      <c r="J27" s="1" t="s">
        <v>33</v>
      </c>
      <c r="K27" s="2" t="s">
        <v>54</v>
      </c>
      <c r="L27" s="2">
        <v>13</v>
      </c>
      <c r="M27" s="2">
        <v>3</v>
      </c>
      <c r="N27" s="2" t="s">
        <v>185</v>
      </c>
      <c r="O27" s="2" t="s">
        <v>186</v>
      </c>
      <c r="P27" s="2" t="s">
        <v>187</v>
      </c>
      <c r="Q27" s="2">
        <v>5465666</v>
      </c>
      <c r="R27" s="2">
        <v>5490806</v>
      </c>
      <c r="S27" s="2">
        <v>5408303.03</v>
      </c>
      <c r="T27" s="2" t="s">
        <v>185</v>
      </c>
      <c r="U27" s="2">
        <v>5465666</v>
      </c>
      <c r="V27" s="4">
        <f t="shared" si="0"/>
        <v>0.108301492780814</v>
      </c>
      <c r="Y27" s="12" t="s">
        <v>188</v>
      </c>
      <c r="Z27" s="12" t="s">
        <v>189</v>
      </c>
    </row>
    <row r="28" ht="84" hidden="1" spans="1:26">
      <c r="A28" s="2">
        <v>27</v>
      </c>
      <c r="B28" s="3">
        <v>45653</v>
      </c>
      <c r="C28" s="2" t="s">
        <v>27</v>
      </c>
      <c r="D28" s="2" t="s">
        <v>28</v>
      </c>
      <c r="E28" s="2" t="s">
        <v>190</v>
      </c>
      <c r="F28" s="2">
        <v>5985803.73</v>
      </c>
      <c r="G28" s="2" t="s">
        <v>191</v>
      </c>
      <c r="H28" s="2" t="s">
        <v>192</v>
      </c>
      <c r="I28" s="2" t="s">
        <v>32</v>
      </c>
      <c r="J28" s="2" t="s">
        <v>39</v>
      </c>
      <c r="K28" s="2" t="s">
        <v>114</v>
      </c>
      <c r="L28" s="2">
        <v>406</v>
      </c>
      <c r="M28" s="2">
        <v>2</v>
      </c>
      <c r="N28" s="2" t="s">
        <v>193</v>
      </c>
      <c r="O28" s="2" t="s">
        <v>194</v>
      </c>
      <c r="P28" s="2" t="s">
        <v>195</v>
      </c>
      <c r="Q28" s="2">
        <v>5173636.34</v>
      </c>
      <c r="R28" s="2">
        <v>5173639</v>
      </c>
      <c r="S28" s="8">
        <v>5173789</v>
      </c>
      <c r="T28" s="2" t="s">
        <v>193</v>
      </c>
      <c r="U28" s="2">
        <v>5173636.34</v>
      </c>
      <c r="V28" s="4">
        <f t="shared" si="0"/>
        <v>0.135682262004271</v>
      </c>
      <c r="Y28" s="12" t="s">
        <v>196</v>
      </c>
      <c r="Z28" s="12" t="s">
        <v>197</v>
      </c>
    </row>
    <row r="29" ht="84" spans="1:26">
      <c r="A29" s="2">
        <v>28</v>
      </c>
      <c r="B29" s="3">
        <v>45651</v>
      </c>
      <c r="C29" s="2" t="s">
        <v>27</v>
      </c>
      <c r="D29" s="2" t="s">
        <v>28</v>
      </c>
      <c r="E29" s="2" t="s">
        <v>198</v>
      </c>
      <c r="F29" s="2">
        <v>117025372.12</v>
      </c>
      <c r="G29" s="2" t="s">
        <v>199</v>
      </c>
      <c r="H29" s="2" t="s">
        <v>128</v>
      </c>
      <c r="I29" s="2" t="s">
        <v>32</v>
      </c>
      <c r="J29" s="1" t="s">
        <v>33</v>
      </c>
      <c r="K29" s="2" t="s">
        <v>54</v>
      </c>
      <c r="L29" s="2">
        <v>86</v>
      </c>
      <c r="M29" s="2">
        <v>1</v>
      </c>
      <c r="N29" s="2" t="s">
        <v>200</v>
      </c>
      <c r="O29" s="2" t="s">
        <v>201</v>
      </c>
      <c r="P29" s="2" t="s">
        <v>202</v>
      </c>
      <c r="Q29" s="2">
        <v>100431174.35</v>
      </c>
      <c r="R29" s="2">
        <v>100232226.91</v>
      </c>
      <c r="S29" s="8">
        <v>100162016</v>
      </c>
      <c r="T29" s="2" t="s">
        <v>201</v>
      </c>
      <c r="U29" s="2">
        <v>100232226.91</v>
      </c>
      <c r="V29" s="4">
        <f t="shared" si="0"/>
        <v>0.143500036836285</v>
      </c>
      <c r="X29" s="2">
        <v>1</v>
      </c>
      <c r="Y29" s="13" t="s">
        <v>203</v>
      </c>
      <c r="Z29" s="12" t="s">
        <v>204</v>
      </c>
    </row>
    <row r="30" ht="84" hidden="1" spans="1:26">
      <c r="A30" s="2">
        <v>29</v>
      </c>
      <c r="B30" s="3">
        <v>45653</v>
      </c>
      <c r="C30" s="2" t="s">
        <v>27</v>
      </c>
      <c r="D30" s="2" t="s">
        <v>28</v>
      </c>
      <c r="E30" s="2" t="s">
        <v>205</v>
      </c>
      <c r="F30" s="2">
        <v>56982759.9</v>
      </c>
      <c r="G30" s="2" t="s">
        <v>206</v>
      </c>
      <c r="H30" s="2" t="s">
        <v>128</v>
      </c>
      <c r="I30" s="2" t="s">
        <v>32</v>
      </c>
      <c r="J30" s="2" t="s">
        <v>39</v>
      </c>
      <c r="K30" s="2" t="s">
        <v>114</v>
      </c>
      <c r="L30" s="2">
        <v>217</v>
      </c>
      <c r="M30" s="2">
        <v>1</v>
      </c>
      <c r="N30" s="2" t="s">
        <v>207</v>
      </c>
      <c r="O30" s="6" t="s">
        <v>208</v>
      </c>
      <c r="P30" s="2" t="s">
        <v>209</v>
      </c>
      <c r="Q30" s="2">
        <v>49936070.51</v>
      </c>
      <c r="R30" s="2">
        <v>49936089.58</v>
      </c>
      <c r="S30" s="2">
        <v>49936098.26</v>
      </c>
      <c r="T30" s="2" t="s">
        <v>207</v>
      </c>
      <c r="U30" s="2">
        <v>49936070.51</v>
      </c>
      <c r="V30" s="4">
        <f t="shared" si="0"/>
        <v>0.123663532660867</v>
      </c>
      <c r="Y30" s="12" t="s">
        <v>210</v>
      </c>
      <c r="Z30" s="12" t="s">
        <v>211</v>
      </c>
    </row>
    <row r="31" ht="101" hidden="1" spans="1:26">
      <c r="A31" s="2">
        <v>30</v>
      </c>
      <c r="B31" s="3">
        <v>45644</v>
      </c>
      <c r="C31" s="2" t="s">
        <v>27</v>
      </c>
      <c r="D31" s="2" t="s">
        <v>28</v>
      </c>
      <c r="E31" s="2" t="s">
        <v>212</v>
      </c>
      <c r="F31" s="2">
        <v>27497139.38</v>
      </c>
      <c r="G31" s="2" t="s">
        <v>213</v>
      </c>
      <c r="H31" s="2" t="s">
        <v>214</v>
      </c>
      <c r="I31" s="2" t="s">
        <v>32</v>
      </c>
      <c r="J31" s="2" t="s">
        <v>39</v>
      </c>
      <c r="K31" s="2" t="s">
        <v>114</v>
      </c>
      <c r="L31" s="2">
        <v>756</v>
      </c>
      <c r="M31" s="2">
        <v>0</v>
      </c>
      <c r="N31" s="2" t="s">
        <v>215</v>
      </c>
      <c r="O31" s="2" t="s">
        <v>216</v>
      </c>
      <c r="P31" s="2" t="s">
        <v>217</v>
      </c>
      <c r="Q31" s="2">
        <v>24421247.19</v>
      </c>
      <c r="R31" s="2">
        <v>24421347.74</v>
      </c>
      <c r="S31" s="2">
        <v>24421479.65</v>
      </c>
      <c r="T31" s="2" t="s">
        <v>215</v>
      </c>
      <c r="U31" s="2">
        <v>24421247.19</v>
      </c>
      <c r="V31" s="4">
        <f t="shared" si="0"/>
        <v>0.111862261288069</v>
      </c>
      <c r="Y31" s="12" t="s">
        <v>218</v>
      </c>
      <c r="Z31" s="12" t="s">
        <v>219</v>
      </c>
    </row>
    <row r="32" ht="84" hidden="1" spans="1:26">
      <c r="A32" s="2">
        <v>31</v>
      </c>
      <c r="B32" s="3">
        <v>45639</v>
      </c>
      <c r="C32" s="2" t="s">
        <v>27</v>
      </c>
      <c r="D32" s="2" t="s">
        <v>28</v>
      </c>
      <c r="E32" s="2" t="s">
        <v>220</v>
      </c>
      <c r="F32" s="2">
        <v>6623000.2</v>
      </c>
      <c r="G32" s="2" t="s">
        <v>221</v>
      </c>
      <c r="H32" s="2" t="s">
        <v>177</v>
      </c>
      <c r="I32" s="2" t="s">
        <v>32</v>
      </c>
      <c r="J32" s="2" t="s">
        <v>39</v>
      </c>
      <c r="K32" s="2" t="s">
        <v>114</v>
      </c>
      <c r="L32" s="2">
        <v>198</v>
      </c>
      <c r="M32" s="2">
        <v>0</v>
      </c>
      <c r="N32" s="2" t="s">
        <v>222</v>
      </c>
      <c r="O32" s="2" t="s">
        <v>223</v>
      </c>
      <c r="P32" s="2" t="s">
        <v>224</v>
      </c>
      <c r="Q32" s="2">
        <v>5757755.77</v>
      </c>
      <c r="R32" s="2">
        <v>5758500.78</v>
      </c>
      <c r="S32" s="2">
        <v>5760321.31</v>
      </c>
      <c r="T32" s="2" t="s">
        <v>222</v>
      </c>
      <c r="U32" s="2">
        <v>5757755.77</v>
      </c>
      <c r="V32" s="4">
        <f t="shared" si="0"/>
        <v>0.13064236809173</v>
      </c>
      <c r="Y32" s="12" t="s">
        <v>225</v>
      </c>
      <c r="Z32" s="12" t="s">
        <v>226</v>
      </c>
    </row>
    <row r="33" ht="68" hidden="1" spans="1:26">
      <c r="A33" s="2">
        <v>32</v>
      </c>
      <c r="B33" s="3">
        <v>45639</v>
      </c>
      <c r="C33" s="2" t="s">
        <v>27</v>
      </c>
      <c r="D33" s="2" t="s">
        <v>28</v>
      </c>
      <c r="E33" s="2" t="s">
        <v>227</v>
      </c>
      <c r="F33" s="2">
        <v>10440821.73</v>
      </c>
      <c r="G33" s="2" t="s">
        <v>228</v>
      </c>
      <c r="H33" s="2" t="s">
        <v>229</v>
      </c>
      <c r="I33" s="2" t="s">
        <v>32</v>
      </c>
      <c r="J33" s="2" t="s">
        <v>39</v>
      </c>
      <c r="K33" s="2" t="s">
        <v>114</v>
      </c>
      <c r="L33" s="2">
        <v>161</v>
      </c>
      <c r="M33" s="2">
        <v>0</v>
      </c>
      <c r="N33" s="2" t="s">
        <v>230</v>
      </c>
      <c r="O33" s="2" t="s">
        <v>231</v>
      </c>
      <c r="P33" s="2" t="s">
        <v>232</v>
      </c>
      <c r="Q33" s="2">
        <v>9423290.84</v>
      </c>
      <c r="R33" s="2">
        <v>9470606.65</v>
      </c>
      <c r="S33" s="2">
        <v>9470606.65</v>
      </c>
      <c r="T33" s="2" t="s">
        <v>230</v>
      </c>
      <c r="U33" s="2">
        <v>9423290.84</v>
      </c>
      <c r="V33" s="4">
        <f t="shared" si="0"/>
        <v>0.09745697382001</v>
      </c>
      <c r="Y33" s="12" t="s">
        <v>233</v>
      </c>
      <c r="Z33" s="12" t="s">
        <v>234</v>
      </c>
    </row>
    <row r="34" ht="152" spans="1:26">
      <c r="A34" s="2">
        <v>33</v>
      </c>
      <c r="B34" s="3">
        <v>45639</v>
      </c>
      <c r="C34" s="2" t="s">
        <v>27</v>
      </c>
      <c r="D34" s="2" t="s">
        <v>28</v>
      </c>
      <c r="E34" s="2" t="s">
        <v>235</v>
      </c>
      <c r="F34" s="2">
        <v>11340000</v>
      </c>
      <c r="G34" s="2" t="s">
        <v>236</v>
      </c>
      <c r="H34" s="2" t="s">
        <v>177</v>
      </c>
      <c r="I34" s="2" t="s">
        <v>237</v>
      </c>
      <c r="J34" s="1" t="s">
        <v>33</v>
      </c>
      <c r="K34" s="2" t="s">
        <v>54</v>
      </c>
      <c r="L34" s="2">
        <v>4</v>
      </c>
      <c r="M34" s="2">
        <v>0</v>
      </c>
      <c r="N34" s="2" t="s">
        <v>238</v>
      </c>
      <c r="O34" s="2" t="s">
        <v>239</v>
      </c>
      <c r="P34" s="2" t="s">
        <v>240</v>
      </c>
      <c r="Q34" s="8">
        <v>10455888</v>
      </c>
      <c r="R34" s="8">
        <v>10226670</v>
      </c>
      <c r="S34" s="8">
        <v>10706930</v>
      </c>
      <c r="T34" s="2" t="s">
        <v>238</v>
      </c>
      <c r="U34" s="8">
        <v>10455888</v>
      </c>
      <c r="V34" s="4">
        <f t="shared" si="0"/>
        <v>0.0779640211640211</v>
      </c>
      <c r="Y34" s="13" t="s">
        <v>241</v>
      </c>
      <c r="Z34" s="12" t="s">
        <v>242</v>
      </c>
    </row>
    <row r="35" ht="84" hidden="1" spans="1:26">
      <c r="A35" s="2">
        <v>34</v>
      </c>
      <c r="B35" s="3">
        <v>45639</v>
      </c>
      <c r="C35" s="2" t="s">
        <v>27</v>
      </c>
      <c r="D35" s="2" t="s">
        <v>28</v>
      </c>
      <c r="E35" s="2" t="s">
        <v>243</v>
      </c>
      <c r="F35" s="2">
        <v>23568714.88</v>
      </c>
      <c r="G35" s="2" t="s">
        <v>244</v>
      </c>
      <c r="H35" s="2" t="s">
        <v>177</v>
      </c>
      <c r="I35" s="2" t="s">
        <v>32</v>
      </c>
      <c r="J35" s="2" t="s">
        <v>39</v>
      </c>
      <c r="K35" s="2" t="s">
        <v>114</v>
      </c>
      <c r="L35" s="2">
        <v>1255</v>
      </c>
      <c r="M35" s="2">
        <v>5</v>
      </c>
      <c r="N35" s="2" t="s">
        <v>245</v>
      </c>
      <c r="O35" s="2" t="s">
        <v>246</v>
      </c>
      <c r="P35" s="2" t="s">
        <v>247</v>
      </c>
      <c r="Q35" s="2">
        <v>20388729.59</v>
      </c>
      <c r="R35" s="2">
        <v>20393231.22</v>
      </c>
      <c r="S35" s="2">
        <v>20398432.83</v>
      </c>
      <c r="T35" s="2" t="s">
        <v>245</v>
      </c>
      <c r="U35" s="2">
        <v>20388729.59</v>
      </c>
      <c r="V35" s="4">
        <f t="shared" si="0"/>
        <v>0.134924000149812</v>
      </c>
      <c r="Y35" s="12" t="s">
        <v>248</v>
      </c>
      <c r="Z35" s="12" t="s">
        <v>249</v>
      </c>
    </row>
    <row r="36" ht="118" hidden="1" spans="1:26">
      <c r="A36" s="2">
        <v>35</v>
      </c>
      <c r="B36" s="3">
        <v>45631</v>
      </c>
      <c r="C36" s="2" t="s">
        <v>27</v>
      </c>
      <c r="D36" s="2" t="s">
        <v>28</v>
      </c>
      <c r="E36" s="2" t="s">
        <v>250</v>
      </c>
      <c r="F36" s="2">
        <v>46089227.37</v>
      </c>
      <c r="G36" s="2" t="s">
        <v>99</v>
      </c>
      <c r="H36" s="2" t="s">
        <v>177</v>
      </c>
      <c r="I36" s="2" t="s">
        <v>32</v>
      </c>
      <c r="J36" s="2" t="s">
        <v>39</v>
      </c>
      <c r="K36" s="2" t="s">
        <v>114</v>
      </c>
      <c r="L36" s="2">
        <v>380</v>
      </c>
      <c r="M36" s="2">
        <v>2</v>
      </c>
      <c r="N36" s="2" t="s">
        <v>251</v>
      </c>
      <c r="O36" s="2" t="s">
        <v>252</v>
      </c>
      <c r="P36" s="2" t="s">
        <v>253</v>
      </c>
      <c r="Q36" s="2">
        <v>41485369.31</v>
      </c>
      <c r="R36" s="2">
        <v>41485718.86</v>
      </c>
      <c r="S36" s="2">
        <v>41485773.06</v>
      </c>
      <c r="T36" s="2" t="s">
        <v>251</v>
      </c>
      <c r="U36" s="2">
        <v>41485369.31</v>
      </c>
      <c r="V36" s="4">
        <f t="shared" si="0"/>
        <v>0.0998901114796448</v>
      </c>
      <c r="Y36" s="12" t="s">
        <v>254</v>
      </c>
      <c r="Z36" s="12" t="s">
        <v>255</v>
      </c>
    </row>
    <row r="37" ht="101" spans="1:26">
      <c r="A37" s="2">
        <v>36</v>
      </c>
      <c r="B37" s="3">
        <v>45630</v>
      </c>
      <c r="C37" s="2" t="s">
        <v>27</v>
      </c>
      <c r="D37" s="2" t="s">
        <v>28</v>
      </c>
      <c r="E37" s="2" t="s">
        <v>256</v>
      </c>
      <c r="F37" s="2">
        <v>107923992.57</v>
      </c>
      <c r="G37" s="2" t="s">
        <v>69</v>
      </c>
      <c r="H37" s="2" t="s">
        <v>177</v>
      </c>
      <c r="I37" s="2" t="s">
        <v>32</v>
      </c>
      <c r="J37" s="1" t="s">
        <v>33</v>
      </c>
      <c r="K37" s="2" t="s">
        <v>54</v>
      </c>
      <c r="L37" s="2">
        <v>72</v>
      </c>
      <c r="M37" s="2">
        <v>0</v>
      </c>
      <c r="N37" s="2" t="s">
        <v>257</v>
      </c>
      <c r="O37" s="2" t="s">
        <v>258</v>
      </c>
      <c r="P37" s="2" t="s">
        <v>259</v>
      </c>
      <c r="Q37" s="2">
        <v>92089816.08</v>
      </c>
      <c r="R37" s="2">
        <v>92480069.23</v>
      </c>
      <c r="S37" s="2">
        <v>92328975.64</v>
      </c>
      <c r="T37" s="2" t="s">
        <v>257</v>
      </c>
      <c r="U37" s="2">
        <v>92089816.08</v>
      </c>
      <c r="V37" s="4">
        <f t="shared" si="0"/>
        <v>0.146715999963862</v>
      </c>
      <c r="X37" s="2">
        <v>0.985</v>
      </c>
      <c r="Y37" s="13" t="s">
        <v>260</v>
      </c>
      <c r="Z37" s="13" t="s">
        <v>261</v>
      </c>
    </row>
    <row r="38" ht="84" hidden="1" spans="1:26">
      <c r="A38" s="2">
        <v>37</v>
      </c>
      <c r="B38" s="3">
        <v>45615</v>
      </c>
      <c r="C38" s="2" t="s">
        <v>27</v>
      </c>
      <c r="D38" s="2" t="s">
        <v>28</v>
      </c>
      <c r="E38" s="2" t="s">
        <v>262</v>
      </c>
      <c r="F38" s="2">
        <v>3820000</v>
      </c>
      <c r="G38" s="2" t="s">
        <v>213</v>
      </c>
      <c r="H38" s="2" t="s">
        <v>149</v>
      </c>
      <c r="I38" s="2" t="s">
        <v>32</v>
      </c>
      <c r="J38" s="1" t="s">
        <v>33</v>
      </c>
      <c r="K38" s="2" t="s">
        <v>34</v>
      </c>
      <c r="L38" s="2">
        <v>4</v>
      </c>
      <c r="M38" s="2">
        <v>1</v>
      </c>
      <c r="N38" s="2" t="s">
        <v>263</v>
      </c>
      <c r="O38" s="2" t="s">
        <v>264</v>
      </c>
      <c r="P38" s="2" t="s">
        <v>265</v>
      </c>
      <c r="Q38" s="2">
        <v>3608486.14</v>
      </c>
      <c r="R38" s="2">
        <v>3626741.81</v>
      </c>
      <c r="S38" s="2">
        <v>3609148.08</v>
      </c>
      <c r="T38" s="2" t="s">
        <v>263</v>
      </c>
      <c r="U38" s="2">
        <v>3608486.14</v>
      </c>
      <c r="V38" s="4">
        <f t="shared" si="0"/>
        <v>0.0553701204188481</v>
      </c>
      <c r="Y38" s="12" t="s">
        <v>266</v>
      </c>
      <c r="Z38" s="12" t="s">
        <v>267</v>
      </c>
    </row>
    <row r="39" ht="135" hidden="1" spans="1:26">
      <c r="A39" s="2">
        <v>38</v>
      </c>
      <c r="B39" s="3">
        <v>45617</v>
      </c>
      <c r="C39" s="2" t="s">
        <v>27</v>
      </c>
      <c r="D39" s="2" t="s">
        <v>28</v>
      </c>
      <c r="E39" s="2" t="s">
        <v>268</v>
      </c>
      <c r="F39" s="2">
        <v>8000000</v>
      </c>
      <c r="G39" s="2" t="s">
        <v>169</v>
      </c>
      <c r="H39" s="2" t="s">
        <v>177</v>
      </c>
      <c r="I39" s="2" t="s">
        <v>32</v>
      </c>
      <c r="J39" s="1" t="s">
        <v>33</v>
      </c>
      <c r="K39" s="2" t="s">
        <v>34</v>
      </c>
      <c r="L39" s="2">
        <v>10</v>
      </c>
      <c r="M39" s="2">
        <v>2</v>
      </c>
      <c r="N39" s="2" t="s">
        <v>269</v>
      </c>
      <c r="O39" s="2" t="s">
        <v>270</v>
      </c>
      <c r="P39" s="2" t="s">
        <v>271</v>
      </c>
      <c r="Q39" s="8">
        <v>6980000</v>
      </c>
      <c r="R39" s="8">
        <v>7197000</v>
      </c>
      <c r="S39" s="8">
        <v>7490000</v>
      </c>
      <c r="T39" s="2" t="s">
        <v>269</v>
      </c>
      <c r="U39" s="8">
        <v>6980000</v>
      </c>
      <c r="V39" s="4">
        <f t="shared" si="0"/>
        <v>0.1275</v>
      </c>
      <c r="Y39" s="12" t="s">
        <v>272</v>
      </c>
      <c r="Z39" s="12" t="s">
        <v>273</v>
      </c>
    </row>
    <row r="40" ht="101" spans="1:26">
      <c r="A40" s="2">
        <v>39</v>
      </c>
      <c r="B40" s="3">
        <v>45603</v>
      </c>
      <c r="C40" s="2" t="s">
        <v>27</v>
      </c>
      <c r="D40" s="2" t="s">
        <v>28</v>
      </c>
      <c r="E40" s="2" t="s">
        <v>274</v>
      </c>
      <c r="F40" s="2">
        <v>239938191.07</v>
      </c>
      <c r="G40" s="2" t="s">
        <v>275</v>
      </c>
      <c r="H40" s="2" t="s">
        <v>276</v>
      </c>
      <c r="I40" s="2" t="s">
        <v>32</v>
      </c>
      <c r="J40" s="1" t="s">
        <v>33</v>
      </c>
      <c r="K40" s="2" t="s">
        <v>54</v>
      </c>
      <c r="L40" s="2">
        <v>115</v>
      </c>
      <c r="M40" s="2">
        <v>1</v>
      </c>
      <c r="N40" s="2" t="s">
        <v>277</v>
      </c>
      <c r="O40" s="2" t="s">
        <v>278</v>
      </c>
      <c r="P40" s="2" t="s">
        <v>279</v>
      </c>
      <c r="Q40" s="2">
        <v>204739258.44</v>
      </c>
      <c r="R40" s="2">
        <v>206394831.96</v>
      </c>
      <c r="S40" s="2">
        <v>206394831.96</v>
      </c>
      <c r="T40" s="2" t="s">
        <v>277</v>
      </c>
      <c r="U40" s="2">
        <v>204739258.44</v>
      </c>
      <c r="V40" s="4">
        <f t="shared" si="0"/>
        <v>0.146700000000129</v>
      </c>
      <c r="X40" s="2">
        <v>0.99</v>
      </c>
      <c r="Y40" s="13" t="s">
        <v>280</v>
      </c>
      <c r="Z40" s="12" t="s">
        <v>281</v>
      </c>
    </row>
    <row r="41" ht="68" hidden="1" spans="1:26">
      <c r="A41" s="2">
        <v>40</v>
      </c>
      <c r="B41" s="3">
        <v>45601</v>
      </c>
      <c r="C41" s="2" t="s">
        <v>27</v>
      </c>
      <c r="D41" s="2" t="s">
        <v>28</v>
      </c>
      <c r="E41" s="2" t="s">
        <v>282</v>
      </c>
      <c r="F41" s="2">
        <v>15334986.18</v>
      </c>
      <c r="G41" s="2" t="s">
        <v>213</v>
      </c>
      <c r="H41" s="2" t="s">
        <v>149</v>
      </c>
      <c r="I41" s="2" t="s">
        <v>32</v>
      </c>
      <c r="J41" s="2" t="s">
        <v>39</v>
      </c>
      <c r="K41" s="2" t="s">
        <v>114</v>
      </c>
      <c r="L41" s="2">
        <v>750</v>
      </c>
      <c r="M41" s="2">
        <v>1</v>
      </c>
      <c r="N41" s="2" t="s">
        <v>283</v>
      </c>
      <c r="O41" s="2" t="s">
        <v>284</v>
      </c>
      <c r="P41" s="2" t="s">
        <v>285</v>
      </c>
      <c r="Q41" s="2">
        <v>13205723.34</v>
      </c>
      <c r="R41" s="2">
        <v>13212289.08</v>
      </c>
      <c r="S41" s="2">
        <v>13212728.67</v>
      </c>
      <c r="T41" s="2" t="s">
        <v>283</v>
      </c>
      <c r="U41" s="2">
        <v>13205723.34</v>
      </c>
      <c r="V41" s="4">
        <f t="shared" ref="V41:V72" si="1">1-U41/F41</f>
        <v>0.138850000580829</v>
      </c>
      <c r="Y41" s="12" t="s">
        <v>286</v>
      </c>
      <c r="Z41" s="12" t="s">
        <v>287</v>
      </c>
    </row>
    <row r="42" ht="68" spans="1:26">
      <c r="A42" s="2">
        <v>41</v>
      </c>
      <c r="B42" s="3">
        <v>45625</v>
      </c>
      <c r="C42" s="2" t="s">
        <v>27</v>
      </c>
      <c r="D42" s="2" t="s">
        <v>28</v>
      </c>
      <c r="E42" s="2" t="s">
        <v>288</v>
      </c>
      <c r="F42" s="2">
        <v>20697405.69</v>
      </c>
      <c r="G42" s="2" t="s">
        <v>289</v>
      </c>
      <c r="H42" s="2" t="s">
        <v>290</v>
      </c>
      <c r="I42" s="2" t="s">
        <v>32</v>
      </c>
      <c r="J42" s="1" t="s">
        <v>33</v>
      </c>
      <c r="K42" s="2" t="s">
        <v>54</v>
      </c>
      <c r="L42" s="2">
        <v>17</v>
      </c>
      <c r="M42" s="2">
        <v>0</v>
      </c>
      <c r="N42" s="2" t="s">
        <v>291</v>
      </c>
      <c r="O42" s="2" t="s">
        <v>292</v>
      </c>
      <c r="P42" s="2" t="s">
        <v>293</v>
      </c>
      <c r="Q42" s="2">
        <v>17779071.49</v>
      </c>
      <c r="R42" s="9">
        <v>17538981.58</v>
      </c>
      <c r="S42" s="2">
        <v>17923953.33</v>
      </c>
      <c r="T42" s="2" t="s">
        <v>291</v>
      </c>
      <c r="U42" s="2">
        <v>17779071.49</v>
      </c>
      <c r="V42" s="4">
        <f t="shared" si="1"/>
        <v>0.140999999889358</v>
      </c>
      <c r="X42" s="2">
        <v>0.99</v>
      </c>
      <c r="Y42" s="12" t="s">
        <v>294</v>
      </c>
      <c r="Z42" s="12" t="s">
        <v>295</v>
      </c>
    </row>
    <row r="43" ht="118" spans="1:26">
      <c r="A43" s="2">
        <v>42</v>
      </c>
      <c r="B43" s="3">
        <v>45597</v>
      </c>
      <c r="C43" s="2" t="s">
        <v>27</v>
      </c>
      <c r="D43" s="2" t="s">
        <v>28</v>
      </c>
      <c r="E43" s="2" t="s">
        <v>296</v>
      </c>
      <c r="F43" s="2">
        <v>114164605.18</v>
      </c>
      <c r="G43" s="2" t="s">
        <v>297</v>
      </c>
      <c r="H43" s="2" t="s">
        <v>128</v>
      </c>
      <c r="I43" s="2" t="s">
        <v>32</v>
      </c>
      <c r="J43" s="1" t="s">
        <v>33</v>
      </c>
      <c r="K43" s="2" t="s">
        <v>54</v>
      </c>
      <c r="L43" s="2">
        <v>118</v>
      </c>
      <c r="M43" s="2">
        <v>1</v>
      </c>
      <c r="N43" s="2" t="s">
        <v>298</v>
      </c>
      <c r="O43" s="2" t="s">
        <v>299</v>
      </c>
      <c r="P43" s="2" t="s">
        <v>300</v>
      </c>
      <c r="Q43" s="2">
        <v>98455555.51</v>
      </c>
      <c r="R43" s="2">
        <v>97976064.17</v>
      </c>
      <c r="S43" s="2">
        <v>97690652.66</v>
      </c>
      <c r="T43" s="2" t="s">
        <v>298</v>
      </c>
      <c r="U43" s="2">
        <v>98455555.51</v>
      </c>
      <c r="V43" s="4">
        <f t="shared" si="1"/>
        <v>0.137599999975754</v>
      </c>
      <c r="X43" s="2">
        <v>0.995</v>
      </c>
      <c r="Y43" s="13" t="s">
        <v>301</v>
      </c>
      <c r="Z43" s="12" t="s">
        <v>302</v>
      </c>
    </row>
    <row r="44" ht="101" spans="1:26">
      <c r="A44" s="2">
        <v>43</v>
      </c>
      <c r="B44" s="3">
        <v>45595</v>
      </c>
      <c r="C44" s="2" t="s">
        <v>27</v>
      </c>
      <c r="D44" s="2" t="s">
        <v>28</v>
      </c>
      <c r="E44" s="2" t="s">
        <v>303</v>
      </c>
      <c r="F44" s="2">
        <v>55761100</v>
      </c>
      <c r="G44" s="2" t="s">
        <v>304</v>
      </c>
      <c r="H44" s="2" t="s">
        <v>149</v>
      </c>
      <c r="I44" s="2" t="s">
        <v>8</v>
      </c>
      <c r="J44" s="1" t="s">
        <v>33</v>
      </c>
      <c r="K44" s="2" t="s">
        <v>54</v>
      </c>
      <c r="L44" s="2">
        <v>22</v>
      </c>
      <c r="M44" s="2">
        <v>0</v>
      </c>
      <c r="N44" s="2" t="s">
        <v>305</v>
      </c>
      <c r="O44" s="2" t="s">
        <v>306</v>
      </c>
      <c r="P44" s="2" t="s">
        <v>307</v>
      </c>
      <c r="Q44" s="2">
        <v>49694292.32</v>
      </c>
      <c r="R44" s="2">
        <v>50023282.81</v>
      </c>
      <c r="S44" s="2">
        <v>49777933.97</v>
      </c>
      <c r="T44" s="2" t="s">
        <v>305</v>
      </c>
      <c r="U44" s="2">
        <v>49694292.32</v>
      </c>
      <c r="V44" s="4">
        <f t="shared" si="1"/>
        <v>0.1088</v>
      </c>
      <c r="Y44" s="12" t="s">
        <v>308</v>
      </c>
      <c r="Z44" s="12" t="s">
        <v>309</v>
      </c>
    </row>
    <row r="45" ht="118" spans="1:26">
      <c r="A45" s="2">
        <v>44</v>
      </c>
      <c r="B45" s="3">
        <v>45590</v>
      </c>
      <c r="C45" s="2" t="s">
        <v>27</v>
      </c>
      <c r="D45" s="2" t="s">
        <v>28</v>
      </c>
      <c r="E45" s="2" t="s">
        <v>310</v>
      </c>
      <c r="F45" s="2">
        <v>190096275.45</v>
      </c>
      <c r="G45" s="2" t="s">
        <v>311</v>
      </c>
      <c r="H45" s="2" t="s">
        <v>312</v>
      </c>
      <c r="I45" s="2" t="s">
        <v>32</v>
      </c>
      <c r="J45" s="1" t="s">
        <v>33</v>
      </c>
      <c r="K45" s="2" t="s">
        <v>54</v>
      </c>
      <c r="L45" s="2">
        <v>66</v>
      </c>
      <c r="M45" s="2">
        <v>1</v>
      </c>
      <c r="N45" s="2" t="s">
        <v>313</v>
      </c>
      <c r="O45" s="2" t="s">
        <v>314</v>
      </c>
      <c r="P45" s="2" t="s">
        <v>315</v>
      </c>
      <c r="Q45" s="2">
        <v>164471297.52</v>
      </c>
      <c r="R45" s="2">
        <v>164243181.99</v>
      </c>
      <c r="S45" s="8">
        <v>164737432.3</v>
      </c>
      <c r="T45" s="2" t="s">
        <v>313</v>
      </c>
      <c r="U45" s="2">
        <v>164471297.52</v>
      </c>
      <c r="V45" s="4">
        <f t="shared" si="1"/>
        <v>0.134799999996528</v>
      </c>
      <c r="X45" s="2">
        <v>1</v>
      </c>
      <c r="Y45" s="12" t="s">
        <v>316</v>
      </c>
      <c r="Z45" s="12" t="s">
        <v>317</v>
      </c>
    </row>
    <row r="46" ht="68" hidden="1" spans="1:26">
      <c r="A46" s="2">
        <v>45</v>
      </c>
      <c r="B46" s="3">
        <v>45587</v>
      </c>
      <c r="C46" s="2" t="s">
        <v>27</v>
      </c>
      <c r="D46" s="2" t="s">
        <v>28</v>
      </c>
      <c r="E46" s="2" t="s">
        <v>318</v>
      </c>
      <c r="F46" s="2">
        <v>4713815.92</v>
      </c>
      <c r="G46" s="2" t="s">
        <v>319</v>
      </c>
      <c r="H46" s="2" t="s">
        <v>149</v>
      </c>
      <c r="I46" s="2" t="s">
        <v>32</v>
      </c>
      <c r="J46" s="2" t="s">
        <v>39</v>
      </c>
      <c r="K46" s="2" t="s">
        <v>114</v>
      </c>
      <c r="L46" s="2">
        <v>287</v>
      </c>
      <c r="M46" s="2">
        <v>3</v>
      </c>
      <c r="N46" s="2" t="s">
        <v>71</v>
      </c>
      <c r="O46" s="2" t="s">
        <v>320</v>
      </c>
      <c r="P46" s="2" t="s">
        <v>321</v>
      </c>
      <c r="Q46" s="2">
        <v>4145090.48</v>
      </c>
      <c r="R46" s="2">
        <v>4145116.21</v>
      </c>
      <c r="S46" s="2">
        <v>4145144.84</v>
      </c>
      <c r="T46" s="2" t="s">
        <v>71</v>
      </c>
      <c r="U46" s="2">
        <v>4145090.48</v>
      </c>
      <c r="V46" s="4">
        <f t="shared" si="1"/>
        <v>0.12065075294667</v>
      </c>
      <c r="Y46" s="12" t="s">
        <v>322</v>
      </c>
      <c r="Z46" s="12" t="s">
        <v>323</v>
      </c>
    </row>
    <row r="47" ht="118" hidden="1" spans="1:26">
      <c r="A47" s="2">
        <v>46</v>
      </c>
      <c r="B47" s="3">
        <v>45587</v>
      </c>
      <c r="C47" s="2" t="s">
        <v>27</v>
      </c>
      <c r="D47" s="2" t="s">
        <v>28</v>
      </c>
      <c r="E47" s="2" t="s">
        <v>324</v>
      </c>
      <c r="F47" s="2">
        <v>55689449.26</v>
      </c>
      <c r="G47" s="2" t="s">
        <v>127</v>
      </c>
      <c r="H47" s="2" t="s">
        <v>128</v>
      </c>
      <c r="I47" s="2" t="s">
        <v>32</v>
      </c>
      <c r="J47" s="2" t="s">
        <v>39</v>
      </c>
      <c r="K47" s="2" t="s">
        <v>114</v>
      </c>
      <c r="L47" s="2">
        <v>520</v>
      </c>
      <c r="M47" s="2">
        <v>3</v>
      </c>
      <c r="N47" s="2" t="s">
        <v>325</v>
      </c>
      <c r="O47" s="2" t="s">
        <v>326</v>
      </c>
      <c r="P47" s="2" t="s">
        <v>327</v>
      </c>
      <c r="Q47" s="2">
        <v>48147455.3</v>
      </c>
      <c r="R47" s="2">
        <v>48147505.14</v>
      </c>
      <c r="S47" s="2">
        <v>48147624.41</v>
      </c>
      <c r="T47" s="2" t="s">
        <v>325</v>
      </c>
      <c r="U47" s="2">
        <v>48147455.3</v>
      </c>
      <c r="V47" s="4">
        <f t="shared" si="1"/>
        <v>0.135429494459325</v>
      </c>
      <c r="Y47" s="12" t="s">
        <v>328</v>
      </c>
      <c r="Z47" s="12" t="s">
        <v>329</v>
      </c>
    </row>
    <row r="48" ht="68" hidden="1" spans="1:26">
      <c r="A48" s="2">
        <v>47</v>
      </c>
      <c r="B48" s="3">
        <v>45583</v>
      </c>
      <c r="C48" s="2" t="s">
        <v>27</v>
      </c>
      <c r="D48" s="2" t="s">
        <v>28</v>
      </c>
      <c r="E48" s="2" t="s">
        <v>330</v>
      </c>
      <c r="F48" s="2">
        <v>44327239.47</v>
      </c>
      <c r="G48" s="2" t="s">
        <v>331</v>
      </c>
      <c r="H48" s="2" t="s">
        <v>44</v>
      </c>
      <c r="I48" s="2" t="s">
        <v>32</v>
      </c>
      <c r="J48" s="2" t="s">
        <v>39</v>
      </c>
      <c r="K48" s="2" t="s">
        <v>114</v>
      </c>
      <c r="L48" s="2">
        <v>518</v>
      </c>
      <c r="M48" s="2">
        <v>2</v>
      </c>
      <c r="N48" s="2" t="s">
        <v>332</v>
      </c>
      <c r="O48" s="2" t="s">
        <v>333</v>
      </c>
      <c r="P48" s="2" t="s">
        <v>334</v>
      </c>
      <c r="Q48" s="2">
        <v>39653287.62</v>
      </c>
      <c r="R48" s="2">
        <v>39655717.96</v>
      </c>
      <c r="S48" s="2">
        <v>39657355.62</v>
      </c>
      <c r="T48" s="2" t="s">
        <v>332</v>
      </c>
      <c r="U48" s="2">
        <v>39653287.62</v>
      </c>
      <c r="V48" s="4">
        <f t="shared" si="1"/>
        <v>0.105441978925019</v>
      </c>
      <c r="Y48" s="12" t="s">
        <v>335</v>
      </c>
      <c r="Z48" s="12" t="s">
        <v>336</v>
      </c>
    </row>
    <row r="49" ht="118" hidden="1" spans="1:26">
      <c r="A49" s="2">
        <v>48</v>
      </c>
      <c r="B49" s="3">
        <v>45583</v>
      </c>
      <c r="C49" s="2" t="s">
        <v>27</v>
      </c>
      <c r="D49" s="2" t="s">
        <v>28</v>
      </c>
      <c r="E49" s="2" t="s">
        <v>337</v>
      </c>
      <c r="F49" s="2">
        <v>7135992.63</v>
      </c>
      <c r="G49" s="2" t="s">
        <v>338</v>
      </c>
      <c r="H49" s="2" t="s">
        <v>70</v>
      </c>
      <c r="I49" s="2" t="s">
        <v>32</v>
      </c>
      <c r="J49" s="2" t="s">
        <v>39</v>
      </c>
      <c r="K49" s="2" t="s">
        <v>114</v>
      </c>
      <c r="L49" s="2">
        <v>682</v>
      </c>
      <c r="M49" s="2">
        <v>0</v>
      </c>
      <c r="N49" s="2" t="s">
        <v>216</v>
      </c>
      <c r="O49" s="2" t="s">
        <v>131</v>
      </c>
      <c r="P49" s="2" t="s">
        <v>339</v>
      </c>
      <c r="Q49" s="2">
        <v>6226431.18</v>
      </c>
      <c r="R49" s="2">
        <v>6234010.71</v>
      </c>
      <c r="S49" s="2">
        <v>6234014.92</v>
      </c>
      <c r="T49" s="2" t="s">
        <v>216</v>
      </c>
      <c r="U49" s="2">
        <v>6226431.18</v>
      </c>
      <c r="V49" s="4">
        <f t="shared" si="1"/>
        <v>0.127461097167641</v>
      </c>
      <c r="Y49" s="12" t="s">
        <v>340</v>
      </c>
      <c r="Z49" s="12" t="s">
        <v>341</v>
      </c>
    </row>
    <row r="50" ht="68" hidden="1" spans="1:26">
      <c r="A50" s="2">
        <v>49</v>
      </c>
      <c r="B50" s="3">
        <v>45589</v>
      </c>
      <c r="C50" s="2" t="s">
        <v>27</v>
      </c>
      <c r="D50" s="2" t="s">
        <v>28</v>
      </c>
      <c r="E50" s="2" t="s">
        <v>342</v>
      </c>
      <c r="F50" s="8">
        <v>4125106.7</v>
      </c>
      <c r="G50" s="2" t="s">
        <v>343</v>
      </c>
      <c r="H50" s="2" t="s">
        <v>44</v>
      </c>
      <c r="I50" s="2" t="s">
        <v>32</v>
      </c>
      <c r="J50" s="2" t="s">
        <v>39</v>
      </c>
      <c r="K50" s="2" t="s">
        <v>114</v>
      </c>
      <c r="L50" s="2">
        <v>640</v>
      </c>
      <c r="M50" s="2">
        <v>1</v>
      </c>
      <c r="N50" s="2" t="s">
        <v>344</v>
      </c>
      <c r="O50" s="2" t="s">
        <v>345</v>
      </c>
      <c r="P50" s="2" t="s">
        <v>346</v>
      </c>
      <c r="Q50" s="2">
        <v>3572126.41</v>
      </c>
      <c r="R50" s="2">
        <v>3573359.96</v>
      </c>
      <c r="S50" s="2">
        <v>3581594.63</v>
      </c>
      <c r="T50" s="2" t="s">
        <v>344</v>
      </c>
      <c r="U50" s="2">
        <v>3572126.41</v>
      </c>
      <c r="V50" s="4">
        <f t="shared" si="1"/>
        <v>0.134052360391066</v>
      </c>
      <c r="Y50" s="12" t="s">
        <v>347</v>
      </c>
      <c r="Z50" s="12" t="s">
        <v>348</v>
      </c>
    </row>
    <row r="51" ht="84" spans="1:26">
      <c r="A51" s="2">
        <v>50</v>
      </c>
      <c r="B51" s="3">
        <v>45577</v>
      </c>
      <c r="C51" s="2" t="s">
        <v>27</v>
      </c>
      <c r="D51" s="2" t="s">
        <v>28</v>
      </c>
      <c r="E51" s="2" t="s">
        <v>349</v>
      </c>
      <c r="F51" s="2">
        <v>143867812.53</v>
      </c>
      <c r="G51" s="2" t="s">
        <v>244</v>
      </c>
      <c r="H51" s="2" t="s">
        <v>177</v>
      </c>
      <c r="I51" s="2" t="s">
        <v>32</v>
      </c>
      <c r="J51" s="1" t="s">
        <v>33</v>
      </c>
      <c r="K51" s="2" t="s">
        <v>54</v>
      </c>
      <c r="L51" s="2">
        <v>44</v>
      </c>
      <c r="M51" s="2">
        <v>0</v>
      </c>
      <c r="N51" s="2" t="s">
        <v>350</v>
      </c>
      <c r="O51" s="2" t="s">
        <v>351</v>
      </c>
      <c r="P51" s="2" t="s">
        <v>352</v>
      </c>
      <c r="Q51" s="2">
        <v>123280328.56</v>
      </c>
      <c r="R51" s="2">
        <v>123350823.79</v>
      </c>
      <c r="S51" s="2">
        <v>123898960.15</v>
      </c>
      <c r="T51" s="2" t="s">
        <v>350</v>
      </c>
      <c r="U51" s="2">
        <v>123280328.56</v>
      </c>
      <c r="V51" s="4">
        <f t="shared" si="1"/>
        <v>0.143099999978849</v>
      </c>
      <c r="X51" s="2">
        <v>0.985</v>
      </c>
      <c r="Y51" s="12" t="s">
        <v>353</v>
      </c>
      <c r="Z51" s="12" t="s">
        <v>354</v>
      </c>
    </row>
    <row r="52" ht="101" spans="1:26">
      <c r="A52" s="2">
        <v>51</v>
      </c>
      <c r="B52" s="3">
        <v>45574</v>
      </c>
      <c r="C52" s="2" t="s">
        <v>27</v>
      </c>
      <c r="D52" s="2" t="s">
        <v>28</v>
      </c>
      <c r="E52" s="2" t="s">
        <v>355</v>
      </c>
      <c r="F52" s="2">
        <v>359836790.31</v>
      </c>
      <c r="G52" s="2" t="s">
        <v>213</v>
      </c>
      <c r="H52" s="2" t="s">
        <v>356</v>
      </c>
      <c r="I52" s="2" t="s">
        <v>32</v>
      </c>
      <c r="J52" s="1" t="s">
        <v>33</v>
      </c>
      <c r="K52" s="2" t="s">
        <v>54</v>
      </c>
      <c r="L52" s="2">
        <v>57</v>
      </c>
      <c r="M52" s="2">
        <v>1</v>
      </c>
      <c r="N52" s="2" t="s">
        <v>357</v>
      </c>
      <c r="O52" s="2" t="s">
        <v>358</v>
      </c>
      <c r="P52" s="2" t="s">
        <v>359</v>
      </c>
      <c r="Q52" s="2">
        <v>314677273.13</v>
      </c>
      <c r="R52" s="2">
        <v>314857191.52</v>
      </c>
      <c r="S52" s="2">
        <v>310978150.92</v>
      </c>
      <c r="T52" s="2" t="s">
        <v>357</v>
      </c>
      <c r="U52" s="2">
        <v>314677273.13</v>
      </c>
      <c r="V52" s="4">
        <f t="shared" si="1"/>
        <v>0.125499999989148</v>
      </c>
      <c r="X52" s="2">
        <v>1.005</v>
      </c>
      <c r="Y52" s="12" t="s">
        <v>360</v>
      </c>
      <c r="Z52" s="12" t="s">
        <v>361</v>
      </c>
    </row>
    <row r="53" ht="68" hidden="1" spans="1:26">
      <c r="A53" s="2">
        <v>52</v>
      </c>
      <c r="B53" s="3">
        <v>45574</v>
      </c>
      <c r="C53" s="2" t="s">
        <v>27</v>
      </c>
      <c r="D53" s="2" t="s">
        <v>28</v>
      </c>
      <c r="E53" s="2" t="s">
        <v>362</v>
      </c>
      <c r="F53" s="2">
        <v>3681400</v>
      </c>
      <c r="G53" s="2" t="s">
        <v>213</v>
      </c>
      <c r="H53" s="2" t="s">
        <v>44</v>
      </c>
      <c r="I53" s="2" t="s">
        <v>32</v>
      </c>
      <c r="J53" s="1" t="s">
        <v>33</v>
      </c>
      <c r="K53" s="2" t="s">
        <v>34</v>
      </c>
      <c r="L53" s="2">
        <v>12</v>
      </c>
      <c r="M53" s="2">
        <v>3</v>
      </c>
      <c r="N53" s="2" t="s">
        <v>363</v>
      </c>
      <c r="O53" s="2" t="s">
        <v>364</v>
      </c>
      <c r="P53" s="2" t="s">
        <v>365</v>
      </c>
      <c r="Q53" s="2">
        <v>3145500</v>
      </c>
      <c r="R53" s="2">
        <v>3122200</v>
      </c>
      <c r="S53" s="2">
        <v>3063950</v>
      </c>
      <c r="T53" s="2" t="s">
        <v>363</v>
      </c>
      <c r="U53" s="2">
        <v>3145500</v>
      </c>
      <c r="V53" s="4">
        <f t="shared" si="1"/>
        <v>0.145569620253165</v>
      </c>
      <c r="Y53" s="12" t="s">
        <v>366</v>
      </c>
      <c r="Z53" s="12" t="s">
        <v>367</v>
      </c>
    </row>
    <row r="54" ht="84" hidden="1" spans="1:26">
      <c r="A54" s="2">
        <v>53</v>
      </c>
      <c r="B54" s="3">
        <v>45555</v>
      </c>
      <c r="C54" s="2" t="s">
        <v>27</v>
      </c>
      <c r="D54" s="2" t="s">
        <v>28</v>
      </c>
      <c r="E54" s="2" t="s">
        <v>368</v>
      </c>
      <c r="F54" s="2">
        <v>6676809.56</v>
      </c>
      <c r="G54" s="2" t="s">
        <v>213</v>
      </c>
      <c r="H54" s="2" t="s">
        <v>44</v>
      </c>
      <c r="I54" s="2" t="s">
        <v>32</v>
      </c>
      <c r="J54" s="2" t="s">
        <v>39</v>
      </c>
      <c r="K54" s="2" t="s">
        <v>114</v>
      </c>
      <c r="L54" s="2">
        <v>135</v>
      </c>
      <c r="M54" s="2">
        <v>0</v>
      </c>
      <c r="N54" s="2" t="s">
        <v>369</v>
      </c>
      <c r="O54" s="2" t="s">
        <v>370</v>
      </c>
      <c r="P54" s="2" t="s">
        <v>230</v>
      </c>
      <c r="Q54" s="2">
        <v>5970455.53</v>
      </c>
      <c r="R54" s="2">
        <v>5970459.71</v>
      </c>
      <c r="S54" s="2">
        <v>5970463.02</v>
      </c>
      <c r="T54" s="2" t="s">
        <v>369</v>
      </c>
      <c r="U54" s="2">
        <v>5970455.53</v>
      </c>
      <c r="V54" s="4">
        <f t="shared" si="1"/>
        <v>0.105792148727992</v>
      </c>
      <c r="Y54" s="12" t="s">
        <v>371</v>
      </c>
      <c r="Z54" s="12" t="s">
        <v>372</v>
      </c>
    </row>
    <row r="55" ht="101" spans="1:26">
      <c r="A55" s="2">
        <v>54</v>
      </c>
      <c r="B55" s="3">
        <v>45558</v>
      </c>
      <c r="C55" s="2" t="s">
        <v>27</v>
      </c>
      <c r="D55" s="2" t="s">
        <v>28</v>
      </c>
      <c r="E55" s="2" t="s">
        <v>373</v>
      </c>
      <c r="F55" s="2">
        <v>105481895.78</v>
      </c>
      <c r="G55" s="2" t="s">
        <v>374</v>
      </c>
      <c r="H55" s="2" t="s">
        <v>375</v>
      </c>
      <c r="I55" s="2" t="s">
        <v>32</v>
      </c>
      <c r="J55" s="1" t="s">
        <v>33</v>
      </c>
      <c r="K55" s="2" t="s">
        <v>54</v>
      </c>
      <c r="L55" s="2">
        <v>60</v>
      </c>
      <c r="M55" s="2">
        <v>2</v>
      </c>
      <c r="N55" s="2" t="s">
        <v>376</v>
      </c>
      <c r="O55" s="2" t="s">
        <v>377</v>
      </c>
      <c r="P55" s="2" t="s">
        <v>378</v>
      </c>
      <c r="Q55" s="2">
        <v>90250310.03</v>
      </c>
      <c r="R55" s="2">
        <v>90957038.73</v>
      </c>
      <c r="S55" s="2">
        <v>91030876.06</v>
      </c>
      <c r="T55" s="2" t="s">
        <v>376</v>
      </c>
      <c r="U55" s="2">
        <v>90250310.03</v>
      </c>
      <c r="V55" s="4">
        <f t="shared" si="1"/>
        <v>0.144399999994008</v>
      </c>
      <c r="X55" s="2">
        <v>0.99</v>
      </c>
      <c r="Y55" s="12" t="s">
        <v>379</v>
      </c>
      <c r="Z55" s="12" t="s">
        <v>380</v>
      </c>
    </row>
    <row r="56" ht="84" hidden="1" spans="1:26">
      <c r="A56" s="2">
        <v>55</v>
      </c>
      <c r="B56" s="3">
        <v>45548</v>
      </c>
      <c r="C56" s="2" t="s">
        <v>27</v>
      </c>
      <c r="D56" s="2" t="s">
        <v>28</v>
      </c>
      <c r="E56" s="2" t="s">
        <v>381</v>
      </c>
      <c r="F56" s="2">
        <v>13128812.53</v>
      </c>
      <c r="G56" s="2" t="s">
        <v>382</v>
      </c>
      <c r="H56" s="2" t="s">
        <v>383</v>
      </c>
      <c r="I56" s="2" t="s">
        <v>32</v>
      </c>
      <c r="J56" s="2" t="s">
        <v>39</v>
      </c>
      <c r="K56" s="2" t="s">
        <v>114</v>
      </c>
      <c r="L56" s="2">
        <v>180</v>
      </c>
      <c r="M56" s="2">
        <v>2</v>
      </c>
      <c r="N56" s="2" t="s">
        <v>384</v>
      </c>
      <c r="O56" s="2" t="s">
        <v>385</v>
      </c>
      <c r="P56" s="2" t="s">
        <v>386</v>
      </c>
      <c r="Q56" s="2">
        <v>11370952.01</v>
      </c>
      <c r="R56" s="2">
        <v>11370952.17</v>
      </c>
      <c r="S56" s="6">
        <v>11370953.71</v>
      </c>
      <c r="T56" s="2" t="s">
        <v>384</v>
      </c>
      <c r="U56" s="2">
        <v>11370952.01</v>
      </c>
      <c r="V56" s="4">
        <f t="shared" si="1"/>
        <v>0.133893336962745</v>
      </c>
      <c r="Y56" s="12" t="s">
        <v>387</v>
      </c>
      <c r="Z56" s="12" t="s">
        <v>388</v>
      </c>
    </row>
    <row r="57" ht="68" hidden="1" spans="1:26">
      <c r="A57" s="2">
        <v>56</v>
      </c>
      <c r="B57" s="3">
        <v>45777</v>
      </c>
      <c r="C57" s="2" t="s">
        <v>389</v>
      </c>
      <c r="D57" s="2" t="s">
        <v>28</v>
      </c>
      <c r="E57" s="2" t="s">
        <v>390</v>
      </c>
      <c r="F57" s="2">
        <v>7981785.02</v>
      </c>
      <c r="G57" s="2" t="s">
        <v>391</v>
      </c>
      <c r="H57" s="2" t="s">
        <v>44</v>
      </c>
      <c r="I57" s="2" t="s">
        <v>32</v>
      </c>
      <c r="J57" s="2" t="s">
        <v>39</v>
      </c>
      <c r="K57" s="1" t="s">
        <v>40</v>
      </c>
      <c r="L57" s="2">
        <v>475</v>
      </c>
      <c r="M57" s="2">
        <v>0</v>
      </c>
      <c r="N57" s="2" t="s">
        <v>392</v>
      </c>
      <c r="O57" s="2" t="s">
        <v>393</v>
      </c>
      <c r="P57" s="2" t="s">
        <v>394</v>
      </c>
      <c r="Q57" s="2">
        <v>5631975.68</v>
      </c>
      <c r="R57" s="2">
        <v>5632357.8</v>
      </c>
      <c r="S57" s="2">
        <v>5633130.76</v>
      </c>
      <c r="T57" s="2" t="s">
        <v>392</v>
      </c>
      <c r="U57" s="2">
        <v>5631975.68</v>
      </c>
      <c r="V57" s="4">
        <f t="shared" si="1"/>
        <v>0.294396470728298</v>
      </c>
      <c r="Y57" s="12" t="s">
        <v>395</v>
      </c>
      <c r="Z57" s="12" t="s">
        <v>396</v>
      </c>
    </row>
    <row r="58" ht="135" spans="1:26">
      <c r="A58" s="2">
        <v>57</v>
      </c>
      <c r="B58" s="3">
        <v>45774</v>
      </c>
      <c r="C58" s="2" t="s">
        <v>389</v>
      </c>
      <c r="D58" s="2" t="s">
        <v>28</v>
      </c>
      <c r="E58" s="2" t="s">
        <v>397</v>
      </c>
      <c r="F58" s="2">
        <v>78163400</v>
      </c>
      <c r="G58" s="2" t="s">
        <v>398</v>
      </c>
      <c r="H58" s="2" t="s">
        <v>128</v>
      </c>
      <c r="I58" s="2" t="s">
        <v>32</v>
      </c>
      <c r="J58" s="1" t="s">
        <v>33</v>
      </c>
      <c r="K58" s="2" t="s">
        <v>54</v>
      </c>
      <c r="L58" s="2">
        <v>83</v>
      </c>
      <c r="M58" s="2">
        <v>3</v>
      </c>
      <c r="N58" s="2" t="s">
        <v>399</v>
      </c>
      <c r="O58" s="2" t="s">
        <v>400</v>
      </c>
      <c r="P58" s="2" t="s">
        <v>401</v>
      </c>
      <c r="Q58" s="2">
        <v>68502403.76</v>
      </c>
      <c r="R58" s="2">
        <v>68580567.16</v>
      </c>
      <c r="S58" s="2">
        <v>68639189.71</v>
      </c>
      <c r="T58" s="2" t="s">
        <v>399</v>
      </c>
      <c r="U58" s="2">
        <v>68502403.76</v>
      </c>
      <c r="V58" s="4">
        <f t="shared" si="1"/>
        <v>0.1236</v>
      </c>
      <c r="Y58" s="12" t="s">
        <v>402</v>
      </c>
      <c r="Z58" s="12" t="s">
        <v>403</v>
      </c>
    </row>
    <row r="59" ht="68" hidden="1" spans="1:26">
      <c r="A59" s="2">
        <v>58</v>
      </c>
      <c r="B59" s="3">
        <v>45755</v>
      </c>
      <c r="C59" s="2" t="s">
        <v>389</v>
      </c>
      <c r="D59" s="2" t="s">
        <v>28</v>
      </c>
      <c r="E59" s="2" t="s">
        <v>404</v>
      </c>
      <c r="F59" s="2">
        <v>4217494.82</v>
      </c>
      <c r="G59" s="2" t="s">
        <v>405</v>
      </c>
      <c r="H59" s="2" t="s">
        <v>406</v>
      </c>
      <c r="I59" s="2" t="s">
        <v>32</v>
      </c>
      <c r="J59" s="2" t="s">
        <v>39</v>
      </c>
      <c r="K59" s="1" t="s">
        <v>40</v>
      </c>
      <c r="L59" s="2">
        <v>573</v>
      </c>
      <c r="M59" s="2">
        <v>0</v>
      </c>
      <c r="N59" s="2" t="s">
        <v>407</v>
      </c>
      <c r="O59" s="2" t="s">
        <v>408</v>
      </c>
      <c r="P59" s="2" t="s">
        <v>409</v>
      </c>
      <c r="Q59" s="2">
        <v>3089783.41</v>
      </c>
      <c r="R59" s="2">
        <v>3094970.15</v>
      </c>
      <c r="S59" s="2">
        <v>3095500.55</v>
      </c>
      <c r="T59" s="2" t="s">
        <v>407</v>
      </c>
      <c r="U59" s="2">
        <v>3089783.41</v>
      </c>
      <c r="V59" s="4">
        <f t="shared" si="1"/>
        <v>0.267388925921668</v>
      </c>
      <c r="W59" s="2">
        <v>8.5</v>
      </c>
      <c r="Y59" s="12" t="s">
        <v>410</v>
      </c>
      <c r="Z59" s="12" t="s">
        <v>411</v>
      </c>
    </row>
    <row r="60" ht="84" spans="1:26">
      <c r="A60" s="2">
        <v>59</v>
      </c>
      <c r="B60" s="3">
        <v>45747</v>
      </c>
      <c r="C60" s="2" t="s">
        <v>389</v>
      </c>
      <c r="D60" s="2" t="s">
        <v>28</v>
      </c>
      <c r="E60" s="2" t="s">
        <v>412</v>
      </c>
      <c r="F60" s="2">
        <v>106923145.29</v>
      </c>
      <c r="G60" s="2" t="s">
        <v>413</v>
      </c>
      <c r="H60" s="2" t="s">
        <v>276</v>
      </c>
      <c r="I60" s="2" t="s">
        <v>32</v>
      </c>
      <c r="J60" s="1" t="s">
        <v>33</v>
      </c>
      <c r="K60" s="2" t="s">
        <v>54</v>
      </c>
      <c r="L60" s="2">
        <v>142</v>
      </c>
      <c r="M60" s="2">
        <v>13</v>
      </c>
      <c r="N60" s="2" t="s">
        <v>414</v>
      </c>
      <c r="O60" s="2" t="s">
        <v>415</v>
      </c>
      <c r="P60" s="2" t="s">
        <v>416</v>
      </c>
      <c r="Q60" s="2">
        <v>78843759.52</v>
      </c>
      <c r="R60" s="2">
        <v>78877204.28</v>
      </c>
      <c r="S60" s="2">
        <v>78908042.92</v>
      </c>
      <c r="T60" s="2" t="s">
        <v>414</v>
      </c>
      <c r="U60" s="2">
        <v>78843759.52</v>
      </c>
      <c r="V60" s="4">
        <f t="shared" si="1"/>
        <v>0.262612792523474</v>
      </c>
      <c r="Y60" s="12" t="s">
        <v>417</v>
      </c>
      <c r="Z60" s="12" t="s">
        <v>418</v>
      </c>
    </row>
    <row r="61" ht="84" spans="1:26">
      <c r="A61" s="2">
        <v>60</v>
      </c>
      <c r="B61" s="3">
        <v>45743</v>
      </c>
      <c r="C61" s="2" t="s">
        <v>389</v>
      </c>
      <c r="D61" s="2" t="s">
        <v>28</v>
      </c>
      <c r="E61" s="2" t="s">
        <v>419</v>
      </c>
      <c r="F61" s="2">
        <v>100124036.6</v>
      </c>
      <c r="G61" s="2" t="s">
        <v>413</v>
      </c>
      <c r="H61" s="2" t="s">
        <v>276</v>
      </c>
      <c r="I61" s="2" t="s">
        <v>32</v>
      </c>
      <c r="J61" s="1" t="s">
        <v>33</v>
      </c>
      <c r="K61" s="2" t="s">
        <v>54</v>
      </c>
      <c r="L61" s="2">
        <v>146</v>
      </c>
      <c r="M61" s="2">
        <v>2</v>
      </c>
      <c r="N61" s="2" t="s">
        <v>420</v>
      </c>
      <c r="O61" s="2" t="s">
        <v>421</v>
      </c>
      <c r="P61" s="2" t="s">
        <v>422</v>
      </c>
      <c r="Q61" s="2">
        <v>77216989.58</v>
      </c>
      <c r="R61" s="2">
        <v>77232678.11</v>
      </c>
      <c r="S61" s="2">
        <v>77353568.71</v>
      </c>
      <c r="T61" s="2" t="s">
        <v>420</v>
      </c>
      <c r="U61" s="2">
        <v>77216989.58</v>
      </c>
      <c r="V61" s="4">
        <f t="shared" si="1"/>
        <v>0.228786690967272</v>
      </c>
      <c r="Y61" s="12" t="s">
        <v>423</v>
      </c>
      <c r="Z61" s="12" t="s">
        <v>424</v>
      </c>
    </row>
    <row r="62" ht="118" hidden="1" spans="1:26">
      <c r="A62" s="2">
        <v>61</v>
      </c>
      <c r="B62" s="3">
        <v>45730</v>
      </c>
      <c r="C62" s="2" t="s">
        <v>389</v>
      </c>
      <c r="D62" s="2" t="s">
        <v>28</v>
      </c>
      <c r="E62" s="2" t="s">
        <v>425</v>
      </c>
      <c r="F62" s="2">
        <v>48742043.39</v>
      </c>
      <c r="G62" s="2" t="s">
        <v>426</v>
      </c>
      <c r="H62" s="2" t="s">
        <v>128</v>
      </c>
      <c r="I62" s="2" t="s">
        <v>32</v>
      </c>
      <c r="J62" s="2" t="s">
        <v>39</v>
      </c>
      <c r="K62" s="1" t="s">
        <v>40</v>
      </c>
      <c r="L62" s="2">
        <v>560</v>
      </c>
      <c r="M62" s="2">
        <v>1</v>
      </c>
      <c r="N62" s="2" t="s">
        <v>427</v>
      </c>
      <c r="O62" s="2" t="s">
        <v>428</v>
      </c>
      <c r="P62" s="2" t="s">
        <v>259</v>
      </c>
      <c r="Q62" s="2">
        <v>41062404.26</v>
      </c>
      <c r="R62" s="2">
        <v>41065570.37</v>
      </c>
      <c r="S62" s="2">
        <v>41071508.02</v>
      </c>
      <c r="T62" s="2" t="s">
        <v>427</v>
      </c>
      <c r="U62" s="2">
        <v>41062404.26</v>
      </c>
      <c r="V62" s="4">
        <f t="shared" si="1"/>
        <v>0.157556774313971</v>
      </c>
      <c r="Y62" s="12" t="s">
        <v>429</v>
      </c>
      <c r="Z62" s="12" t="s">
        <v>430</v>
      </c>
    </row>
    <row r="63" ht="101" spans="1:26">
      <c r="A63" s="2">
        <v>62</v>
      </c>
      <c r="B63" s="3">
        <v>45727</v>
      </c>
      <c r="C63" s="2" t="s">
        <v>389</v>
      </c>
      <c r="D63" s="2" t="s">
        <v>28</v>
      </c>
      <c r="E63" s="2" t="s">
        <v>431</v>
      </c>
      <c r="F63" s="2">
        <v>27834426.04</v>
      </c>
      <c r="G63" s="2" t="s">
        <v>432</v>
      </c>
      <c r="H63" s="2" t="s">
        <v>113</v>
      </c>
      <c r="I63" s="2" t="s">
        <v>8</v>
      </c>
      <c r="J63" s="1" t="s">
        <v>33</v>
      </c>
      <c r="K63" s="2" t="s">
        <v>54</v>
      </c>
      <c r="L63" s="2">
        <v>17</v>
      </c>
      <c r="M63" s="2">
        <v>0</v>
      </c>
      <c r="N63" s="2" t="s">
        <v>433</v>
      </c>
      <c r="O63" s="2" t="s">
        <v>434</v>
      </c>
      <c r="P63" s="2" t="s">
        <v>435</v>
      </c>
      <c r="Q63" s="2">
        <v>24410791.64</v>
      </c>
      <c r="R63" s="2">
        <v>24421925.41</v>
      </c>
      <c r="S63" s="2">
        <v>24494294.92</v>
      </c>
      <c r="T63" s="2" t="s">
        <v>433</v>
      </c>
      <c r="U63" s="2">
        <v>24410791.64</v>
      </c>
      <c r="V63" s="4">
        <f t="shared" si="1"/>
        <v>0.122999999895094</v>
      </c>
      <c r="Y63" s="12" t="s">
        <v>436</v>
      </c>
      <c r="Z63" s="12" t="s">
        <v>437</v>
      </c>
    </row>
    <row r="64" ht="152" hidden="1" spans="1:26">
      <c r="A64" s="2">
        <v>63</v>
      </c>
      <c r="B64" s="3">
        <v>45678</v>
      </c>
      <c r="C64" s="2" t="s">
        <v>389</v>
      </c>
      <c r="D64" s="2" t="s">
        <v>28</v>
      </c>
      <c r="E64" s="2" t="s">
        <v>438</v>
      </c>
      <c r="F64" s="2">
        <v>12937741.51</v>
      </c>
      <c r="G64" s="2" t="s">
        <v>439</v>
      </c>
      <c r="H64" s="2" t="s">
        <v>128</v>
      </c>
      <c r="I64" s="2" t="s">
        <v>32</v>
      </c>
      <c r="J64" s="2" t="s">
        <v>39</v>
      </c>
      <c r="K64" s="2" t="s">
        <v>114</v>
      </c>
      <c r="L64" s="2">
        <v>1081</v>
      </c>
      <c r="M64" s="2">
        <v>2</v>
      </c>
      <c r="N64" s="2" t="s">
        <v>440</v>
      </c>
      <c r="O64" s="2" t="s">
        <v>441</v>
      </c>
      <c r="P64" s="2" t="s">
        <v>442</v>
      </c>
      <c r="Q64" s="2">
        <v>10543535.46</v>
      </c>
      <c r="R64" s="2">
        <v>10543543.89</v>
      </c>
      <c r="S64" s="2">
        <v>10543551.21</v>
      </c>
      <c r="T64" s="2" t="s">
        <v>440</v>
      </c>
      <c r="U64" s="2">
        <v>10543535.46</v>
      </c>
      <c r="V64" s="4">
        <f t="shared" si="1"/>
        <v>0.18505595031014</v>
      </c>
      <c r="Y64" s="12" t="s">
        <v>443</v>
      </c>
      <c r="Z64" s="12" t="s">
        <v>444</v>
      </c>
    </row>
    <row r="65" ht="68" hidden="1" spans="1:26">
      <c r="A65" s="2">
        <v>64</v>
      </c>
      <c r="B65" s="3">
        <v>45649</v>
      </c>
      <c r="C65" s="2" t="s">
        <v>389</v>
      </c>
      <c r="D65" s="2" t="s">
        <v>28</v>
      </c>
      <c r="E65" s="2" t="s">
        <v>445</v>
      </c>
      <c r="F65" s="2">
        <v>4900000</v>
      </c>
      <c r="G65" s="2" t="s">
        <v>169</v>
      </c>
      <c r="H65" s="2" t="s">
        <v>177</v>
      </c>
      <c r="I65" s="2" t="s">
        <v>32</v>
      </c>
      <c r="J65" s="1" t="s">
        <v>33</v>
      </c>
      <c r="K65" s="2" t="s">
        <v>34</v>
      </c>
      <c r="L65" s="2">
        <v>3</v>
      </c>
      <c r="M65" s="2">
        <v>0</v>
      </c>
      <c r="N65" s="2" t="s">
        <v>446</v>
      </c>
      <c r="O65" s="2" t="s">
        <v>447</v>
      </c>
      <c r="P65" s="2" t="s">
        <v>448</v>
      </c>
      <c r="Q65" s="8">
        <v>3900000</v>
      </c>
      <c r="R65" s="2">
        <v>4388600</v>
      </c>
      <c r="S65" s="8">
        <v>4788121</v>
      </c>
      <c r="T65" s="2" t="s">
        <v>446</v>
      </c>
      <c r="U65" s="8">
        <v>3900000</v>
      </c>
      <c r="V65" s="4">
        <f t="shared" si="1"/>
        <v>0.204081632653061</v>
      </c>
      <c r="Y65" s="12" t="s">
        <v>449</v>
      </c>
      <c r="Z65" s="12" t="s">
        <v>450</v>
      </c>
    </row>
    <row r="66" ht="84" hidden="1" spans="1:26">
      <c r="A66" s="2">
        <v>65</v>
      </c>
      <c r="B66" s="3">
        <v>45643</v>
      </c>
      <c r="C66" s="2" t="s">
        <v>389</v>
      </c>
      <c r="D66" s="2" t="s">
        <v>28</v>
      </c>
      <c r="E66" s="2" t="s">
        <v>451</v>
      </c>
      <c r="F66" s="2">
        <v>4816679.19</v>
      </c>
      <c r="G66" s="2" t="s">
        <v>452</v>
      </c>
      <c r="H66" s="2" t="s">
        <v>177</v>
      </c>
      <c r="I66" s="2" t="s">
        <v>32</v>
      </c>
      <c r="J66" s="1" t="s">
        <v>33</v>
      </c>
      <c r="K66" s="2" t="s">
        <v>34</v>
      </c>
      <c r="L66" s="2">
        <v>7</v>
      </c>
      <c r="M66" s="2">
        <v>0</v>
      </c>
      <c r="N66" s="2" t="s">
        <v>448</v>
      </c>
      <c r="O66" s="2" t="s">
        <v>446</v>
      </c>
      <c r="P66" s="2" t="s">
        <v>453</v>
      </c>
      <c r="Q66" s="2">
        <v>4367831</v>
      </c>
      <c r="R66" s="2">
        <v>4685000</v>
      </c>
      <c r="S66" s="2">
        <v>4593300</v>
      </c>
      <c r="T66" s="2" t="s">
        <v>448</v>
      </c>
      <c r="U66" s="2">
        <v>4367831</v>
      </c>
      <c r="V66" s="4">
        <f t="shared" si="1"/>
        <v>0.0931862331483199</v>
      </c>
      <c r="Y66" s="12" t="s">
        <v>454</v>
      </c>
      <c r="Z66" s="12" t="s">
        <v>455</v>
      </c>
    </row>
    <row r="67" ht="219" hidden="1" spans="1:26">
      <c r="A67" s="2">
        <v>66</v>
      </c>
      <c r="B67" s="3">
        <v>45639</v>
      </c>
      <c r="C67" s="2" t="s">
        <v>389</v>
      </c>
      <c r="D67" s="2" t="s">
        <v>28</v>
      </c>
      <c r="E67" s="2" t="s">
        <v>456</v>
      </c>
      <c r="F67" s="2">
        <v>6585606.6</v>
      </c>
      <c r="G67" s="2" t="s">
        <v>99</v>
      </c>
      <c r="H67" s="2" t="s">
        <v>177</v>
      </c>
      <c r="I67" s="2" t="s">
        <v>32</v>
      </c>
      <c r="J67" s="2" t="s">
        <v>39</v>
      </c>
      <c r="K67" s="2" t="s">
        <v>114</v>
      </c>
      <c r="L67" s="2">
        <v>218</v>
      </c>
      <c r="M67" s="2">
        <v>1</v>
      </c>
      <c r="N67" s="2" t="s">
        <v>457</v>
      </c>
      <c r="O67" s="2" t="s">
        <v>458</v>
      </c>
      <c r="P67" s="2" t="s">
        <v>459</v>
      </c>
      <c r="Q67" s="2">
        <v>5471509.42</v>
      </c>
      <c r="R67" s="2">
        <v>5471510.32</v>
      </c>
      <c r="S67" s="2">
        <v>5471511.49</v>
      </c>
      <c r="T67" s="2" t="s">
        <v>457</v>
      </c>
      <c r="U67" s="2">
        <v>5471509.42</v>
      </c>
      <c r="V67" s="4">
        <f t="shared" si="1"/>
        <v>0.169171535390529</v>
      </c>
      <c r="Y67" s="12" t="s">
        <v>460</v>
      </c>
      <c r="Z67" s="12" t="s">
        <v>461</v>
      </c>
    </row>
    <row r="68" ht="84" hidden="1" spans="1:26">
      <c r="A68" s="2">
        <v>67</v>
      </c>
      <c r="B68" s="3">
        <v>45632</v>
      </c>
      <c r="C68" s="2" t="s">
        <v>389</v>
      </c>
      <c r="D68" s="2" t="s">
        <v>28</v>
      </c>
      <c r="E68" s="2" t="s">
        <v>462</v>
      </c>
      <c r="F68" s="2">
        <v>8798253.94</v>
      </c>
      <c r="G68" s="2" t="s">
        <v>463</v>
      </c>
      <c r="H68" s="2" t="s">
        <v>464</v>
      </c>
      <c r="I68" s="2" t="s">
        <v>32</v>
      </c>
      <c r="J68" s="2" t="s">
        <v>39</v>
      </c>
      <c r="K68" s="2" t="s">
        <v>114</v>
      </c>
      <c r="L68" s="2">
        <v>565</v>
      </c>
      <c r="M68" s="2">
        <v>1</v>
      </c>
      <c r="N68" s="2" t="s">
        <v>465</v>
      </c>
      <c r="O68" s="2" t="s">
        <v>466</v>
      </c>
      <c r="P68" s="2" t="s">
        <v>467</v>
      </c>
      <c r="Q68" s="2">
        <v>7215093.72</v>
      </c>
      <c r="R68" s="2">
        <v>7215097.86</v>
      </c>
      <c r="S68" s="2">
        <v>7215108.03</v>
      </c>
      <c r="T68" s="2" t="s">
        <v>465</v>
      </c>
      <c r="U68" s="2">
        <v>7215093.72</v>
      </c>
      <c r="V68" s="4">
        <f t="shared" si="1"/>
        <v>0.179940273467488</v>
      </c>
      <c r="Y68" s="12" t="s">
        <v>468</v>
      </c>
      <c r="Z68" s="12" t="s">
        <v>469</v>
      </c>
    </row>
    <row r="69" ht="84" hidden="1" spans="1:26">
      <c r="A69" s="2">
        <v>68</v>
      </c>
      <c r="B69" s="3">
        <v>45630</v>
      </c>
      <c r="C69" s="2" t="s">
        <v>389</v>
      </c>
      <c r="D69" s="2" t="s">
        <v>28</v>
      </c>
      <c r="E69" s="2" t="s">
        <v>470</v>
      </c>
      <c r="F69" s="2">
        <v>4373733.03</v>
      </c>
      <c r="G69" s="2" t="s">
        <v>471</v>
      </c>
      <c r="H69" s="2" t="s">
        <v>70</v>
      </c>
      <c r="I69" s="2" t="s">
        <v>32</v>
      </c>
      <c r="J69" s="2" t="s">
        <v>39</v>
      </c>
      <c r="K69" s="2" t="s">
        <v>114</v>
      </c>
      <c r="L69" s="2">
        <v>499</v>
      </c>
      <c r="M69" s="2">
        <v>1</v>
      </c>
      <c r="N69" s="2" t="s">
        <v>472</v>
      </c>
      <c r="O69" s="2" t="s">
        <v>473</v>
      </c>
      <c r="P69" s="2" t="s">
        <v>284</v>
      </c>
      <c r="Q69" s="2">
        <v>3684053.19</v>
      </c>
      <c r="R69" s="2">
        <v>3684651.39</v>
      </c>
      <c r="S69" s="2">
        <v>3685221.38</v>
      </c>
      <c r="T69" s="2" t="s">
        <v>472</v>
      </c>
      <c r="U69" s="2">
        <v>3684053.19</v>
      </c>
      <c r="V69" s="4">
        <f t="shared" si="1"/>
        <v>0.1576867712934</v>
      </c>
      <c r="Y69" s="12" t="s">
        <v>474</v>
      </c>
      <c r="Z69" s="12" t="s">
        <v>475</v>
      </c>
    </row>
    <row r="70" ht="118" hidden="1" spans="1:26">
      <c r="A70" s="2">
        <v>69</v>
      </c>
      <c r="B70" s="3">
        <v>45628</v>
      </c>
      <c r="C70" s="2" t="s">
        <v>389</v>
      </c>
      <c r="D70" s="2" t="s">
        <v>28</v>
      </c>
      <c r="E70" s="2" t="s">
        <v>476</v>
      </c>
      <c r="F70" s="2">
        <v>7009515.68</v>
      </c>
      <c r="G70" s="2" t="s">
        <v>221</v>
      </c>
      <c r="H70" s="2" t="s">
        <v>70</v>
      </c>
      <c r="I70" s="2" t="s">
        <v>32</v>
      </c>
      <c r="J70" s="2" t="s">
        <v>39</v>
      </c>
      <c r="K70" s="2" t="s">
        <v>114</v>
      </c>
      <c r="L70" s="2">
        <v>690</v>
      </c>
      <c r="M70" s="2">
        <v>3</v>
      </c>
      <c r="N70" s="2" t="s">
        <v>477</v>
      </c>
      <c r="O70" s="2" t="s">
        <v>478</v>
      </c>
      <c r="P70" s="2" t="s">
        <v>479</v>
      </c>
      <c r="Q70" s="2">
        <v>5779995.81</v>
      </c>
      <c r="R70" s="2">
        <v>5782654.94</v>
      </c>
      <c r="S70" s="2">
        <v>5783269.06</v>
      </c>
      <c r="T70" s="2" t="s">
        <v>477</v>
      </c>
      <c r="U70" s="2">
        <v>5779995.81</v>
      </c>
      <c r="V70" s="4">
        <f t="shared" si="1"/>
        <v>0.175407250105474</v>
      </c>
      <c r="Y70" s="12" t="s">
        <v>480</v>
      </c>
      <c r="Z70" s="12" t="s">
        <v>481</v>
      </c>
    </row>
    <row r="71" ht="185" hidden="1" spans="1:26">
      <c r="A71" s="2">
        <v>70</v>
      </c>
      <c r="B71" s="3">
        <v>45621</v>
      </c>
      <c r="C71" s="2" t="s">
        <v>389</v>
      </c>
      <c r="D71" s="2" t="s">
        <v>28</v>
      </c>
      <c r="E71" s="2" t="s">
        <v>482</v>
      </c>
      <c r="F71" s="2">
        <v>62281847.79</v>
      </c>
      <c r="G71" s="2" t="s">
        <v>483</v>
      </c>
      <c r="H71" s="2" t="s">
        <v>128</v>
      </c>
      <c r="I71" s="2" t="s">
        <v>32</v>
      </c>
      <c r="J71" s="2" t="s">
        <v>39</v>
      </c>
      <c r="K71" s="2" t="s">
        <v>114</v>
      </c>
      <c r="L71" s="2">
        <v>873</v>
      </c>
      <c r="M71" s="2">
        <v>3</v>
      </c>
      <c r="N71" s="2" t="s">
        <v>484</v>
      </c>
      <c r="O71" s="2" t="s">
        <v>485</v>
      </c>
      <c r="P71" s="2" t="s">
        <v>486</v>
      </c>
      <c r="Q71" s="2">
        <v>51323645.62</v>
      </c>
      <c r="R71" s="2">
        <v>51323779.25</v>
      </c>
      <c r="S71" s="2">
        <v>51323781.03</v>
      </c>
      <c r="T71" s="2" t="s">
        <v>484</v>
      </c>
      <c r="U71" s="2">
        <v>51323645.62</v>
      </c>
      <c r="V71" s="4">
        <f t="shared" si="1"/>
        <v>0.175945360628165</v>
      </c>
      <c r="Y71" s="12" t="s">
        <v>487</v>
      </c>
      <c r="Z71" s="12" t="s">
        <v>488</v>
      </c>
    </row>
    <row r="72" ht="51" hidden="1" spans="1:26">
      <c r="A72" s="2">
        <v>71</v>
      </c>
      <c r="B72" s="3">
        <v>45614</v>
      </c>
      <c r="C72" s="2" t="s">
        <v>389</v>
      </c>
      <c r="D72" s="2" t="s">
        <v>28</v>
      </c>
      <c r="E72" s="2" t="s">
        <v>489</v>
      </c>
      <c r="F72" s="2">
        <v>7983321.56</v>
      </c>
      <c r="G72" s="2" t="s">
        <v>213</v>
      </c>
      <c r="H72" s="2" t="s">
        <v>44</v>
      </c>
      <c r="I72" s="2" t="s">
        <v>32</v>
      </c>
      <c r="J72" s="2" t="s">
        <v>39</v>
      </c>
      <c r="K72" s="2" t="s">
        <v>114</v>
      </c>
      <c r="L72" s="2">
        <v>608</v>
      </c>
      <c r="M72" s="2">
        <v>2</v>
      </c>
      <c r="N72" s="2" t="s">
        <v>490</v>
      </c>
      <c r="O72" s="2" t="s">
        <v>491</v>
      </c>
      <c r="P72" s="2" t="s">
        <v>492</v>
      </c>
      <c r="Q72" s="2">
        <v>6677663.04</v>
      </c>
      <c r="R72" s="2">
        <v>6677665.99</v>
      </c>
      <c r="S72" s="2">
        <v>6677667.35</v>
      </c>
      <c r="T72" s="2" t="s">
        <v>490</v>
      </c>
      <c r="U72" s="2">
        <v>6677663.04</v>
      </c>
      <c r="V72" s="4">
        <f t="shared" si="1"/>
        <v>0.163548281274543</v>
      </c>
      <c r="Y72" s="12" t="s">
        <v>493</v>
      </c>
      <c r="Z72" s="12" t="s">
        <v>494</v>
      </c>
    </row>
    <row r="73" ht="68" hidden="1" spans="1:26">
      <c r="A73" s="2">
        <v>72</v>
      </c>
      <c r="B73" s="3">
        <v>45614</v>
      </c>
      <c r="C73" s="2" t="s">
        <v>389</v>
      </c>
      <c r="D73" s="2" t="s">
        <v>28</v>
      </c>
      <c r="E73" s="2" t="s">
        <v>495</v>
      </c>
      <c r="F73" s="2">
        <v>7091475.78</v>
      </c>
      <c r="G73" s="2" t="s">
        <v>127</v>
      </c>
      <c r="H73" s="2" t="s">
        <v>128</v>
      </c>
      <c r="I73" s="2" t="s">
        <v>32</v>
      </c>
      <c r="J73" s="2" t="s">
        <v>39</v>
      </c>
      <c r="K73" s="2" t="s">
        <v>114</v>
      </c>
      <c r="L73" s="2">
        <v>225</v>
      </c>
      <c r="M73" s="2">
        <v>1</v>
      </c>
      <c r="N73" s="2" t="s">
        <v>478</v>
      </c>
      <c r="O73" s="2" t="s">
        <v>496</v>
      </c>
      <c r="P73" s="2" t="s">
        <v>497</v>
      </c>
      <c r="Q73" s="2">
        <v>5881100.57</v>
      </c>
      <c r="R73" s="2">
        <v>5882282.98</v>
      </c>
      <c r="S73" s="2">
        <v>5882379.16</v>
      </c>
      <c r="T73" s="2" t="s">
        <v>478</v>
      </c>
      <c r="U73" s="2">
        <v>5881100.57</v>
      </c>
      <c r="V73" s="4">
        <f t="shared" ref="V73:V91" si="2">1-U73/F73</f>
        <v>0.170680299496137</v>
      </c>
      <c r="Y73" s="12" t="s">
        <v>498</v>
      </c>
      <c r="Z73" s="12" t="s">
        <v>499</v>
      </c>
    </row>
    <row r="74" ht="185" hidden="1" spans="1:26">
      <c r="A74" s="2">
        <v>73</v>
      </c>
      <c r="B74" s="3">
        <v>45586</v>
      </c>
      <c r="C74" s="2" t="s">
        <v>389</v>
      </c>
      <c r="D74" s="2" t="s">
        <v>28</v>
      </c>
      <c r="E74" s="2" t="s">
        <v>500</v>
      </c>
      <c r="F74" s="8">
        <v>11999188.2</v>
      </c>
      <c r="G74" s="2" t="s">
        <v>501</v>
      </c>
      <c r="H74" s="2" t="s">
        <v>149</v>
      </c>
      <c r="I74" s="2" t="s">
        <v>32</v>
      </c>
      <c r="J74" s="2" t="s">
        <v>39</v>
      </c>
      <c r="K74" s="2" t="s">
        <v>114</v>
      </c>
      <c r="L74" s="2">
        <v>552</v>
      </c>
      <c r="M74" s="2">
        <v>4</v>
      </c>
      <c r="N74" s="2" t="s">
        <v>502</v>
      </c>
      <c r="O74" s="2" t="s">
        <v>503</v>
      </c>
      <c r="P74" s="2" t="s">
        <v>504</v>
      </c>
      <c r="Q74" s="2">
        <v>10079445.21</v>
      </c>
      <c r="R74" s="2">
        <v>10079505.67</v>
      </c>
      <c r="S74" s="2">
        <v>10079688.86</v>
      </c>
      <c r="T74" s="2" t="s">
        <v>502</v>
      </c>
      <c r="U74" s="2">
        <v>10079445.21</v>
      </c>
      <c r="V74" s="4">
        <f t="shared" si="2"/>
        <v>0.159989405783301</v>
      </c>
      <c r="Y74" s="12" t="s">
        <v>505</v>
      </c>
      <c r="Z74" s="12" t="s">
        <v>506</v>
      </c>
    </row>
    <row r="75" ht="219" hidden="1" spans="1:26">
      <c r="A75" s="2">
        <v>74</v>
      </c>
      <c r="B75" s="3">
        <v>45587</v>
      </c>
      <c r="C75" s="2" t="s">
        <v>389</v>
      </c>
      <c r="D75" s="2" t="s">
        <v>28</v>
      </c>
      <c r="E75" s="2" t="s">
        <v>507</v>
      </c>
      <c r="F75" s="2">
        <v>42672023.66</v>
      </c>
      <c r="G75" s="2" t="s">
        <v>501</v>
      </c>
      <c r="H75" s="2" t="s">
        <v>44</v>
      </c>
      <c r="I75" s="2" t="s">
        <v>32</v>
      </c>
      <c r="J75" s="2" t="s">
        <v>39</v>
      </c>
      <c r="K75" s="2" t="s">
        <v>114</v>
      </c>
      <c r="L75" s="2">
        <v>345</v>
      </c>
      <c r="M75" s="2">
        <v>4</v>
      </c>
      <c r="N75" s="2" t="s">
        <v>508</v>
      </c>
      <c r="O75" s="2" t="s">
        <v>509</v>
      </c>
      <c r="P75" s="2" t="s">
        <v>510</v>
      </c>
      <c r="Q75" s="2">
        <v>34910894.54</v>
      </c>
      <c r="R75" s="2">
        <v>34911312.67</v>
      </c>
      <c r="S75" s="2">
        <v>34914249.76</v>
      </c>
      <c r="T75" s="2" t="s">
        <v>508</v>
      </c>
      <c r="U75" s="2">
        <v>34910894.54</v>
      </c>
      <c r="V75" s="4">
        <f t="shared" si="2"/>
        <v>0.181878628064109</v>
      </c>
      <c r="Y75" s="12" t="s">
        <v>511</v>
      </c>
      <c r="Z75" s="12" t="s">
        <v>512</v>
      </c>
    </row>
    <row r="76" ht="84" hidden="1" spans="1:26">
      <c r="A76" s="2">
        <v>75</v>
      </c>
      <c r="B76" s="3">
        <v>45581</v>
      </c>
      <c r="C76" s="2" t="s">
        <v>389</v>
      </c>
      <c r="D76" s="2" t="s">
        <v>28</v>
      </c>
      <c r="E76" s="2" t="s">
        <v>513</v>
      </c>
      <c r="F76" s="8">
        <v>8712620.8</v>
      </c>
      <c r="G76" s="2" t="s">
        <v>99</v>
      </c>
      <c r="H76" s="2" t="s">
        <v>70</v>
      </c>
      <c r="I76" s="2" t="s">
        <v>32</v>
      </c>
      <c r="J76" s="2" t="s">
        <v>39</v>
      </c>
      <c r="K76" s="2" t="s">
        <v>514</v>
      </c>
      <c r="L76" s="2">
        <v>44</v>
      </c>
      <c r="M76" s="2">
        <v>3</v>
      </c>
      <c r="N76" s="2" t="s">
        <v>515</v>
      </c>
      <c r="O76" s="2" t="s">
        <v>516</v>
      </c>
      <c r="P76" s="2" t="s">
        <v>517</v>
      </c>
      <c r="Q76" s="2">
        <v>3086588.66</v>
      </c>
      <c r="R76" s="2">
        <v>3558000.01</v>
      </c>
      <c r="S76" s="2">
        <v>3590133.49</v>
      </c>
      <c r="T76" s="2" t="s">
        <v>515</v>
      </c>
      <c r="U76" s="2">
        <v>3086588.66</v>
      </c>
      <c r="V76" s="4">
        <f t="shared" si="2"/>
        <v>0.645733616686267</v>
      </c>
      <c r="Y76" s="12" t="s">
        <v>518</v>
      </c>
      <c r="Z76" s="12" t="s">
        <v>519</v>
      </c>
    </row>
    <row r="77" ht="135" spans="1:26">
      <c r="A77" s="2">
        <v>76</v>
      </c>
      <c r="B77" s="3">
        <v>45579</v>
      </c>
      <c r="C77" s="2" t="s">
        <v>389</v>
      </c>
      <c r="D77" s="2" t="s">
        <v>28</v>
      </c>
      <c r="E77" s="2" t="s">
        <v>520</v>
      </c>
      <c r="F77" s="2">
        <v>131738637.87</v>
      </c>
      <c r="G77" s="2" t="s">
        <v>521</v>
      </c>
      <c r="H77" s="2" t="s">
        <v>177</v>
      </c>
      <c r="I77" s="2" t="s">
        <v>32</v>
      </c>
      <c r="J77" s="1" t="s">
        <v>33</v>
      </c>
      <c r="K77" s="2" t="s">
        <v>54</v>
      </c>
      <c r="L77" s="2">
        <v>122</v>
      </c>
      <c r="M77" s="2">
        <v>1</v>
      </c>
      <c r="N77" s="2" t="s">
        <v>522</v>
      </c>
      <c r="O77" s="2" t="s">
        <v>523</v>
      </c>
      <c r="P77" s="2" t="s">
        <v>524</v>
      </c>
      <c r="Q77" s="2">
        <v>108592169.79</v>
      </c>
      <c r="R77" s="2">
        <v>108881984.2</v>
      </c>
      <c r="S77" s="2">
        <v>108684376.24</v>
      </c>
      <c r="T77" s="2" t="s">
        <v>522</v>
      </c>
      <c r="U77" s="2">
        <v>108592169.79</v>
      </c>
      <c r="V77" s="4">
        <f t="shared" si="2"/>
        <v>0.175699919585027</v>
      </c>
      <c r="X77" s="2">
        <v>1</v>
      </c>
      <c r="Y77" s="12" t="s">
        <v>525</v>
      </c>
      <c r="Z77" s="12" t="s">
        <v>526</v>
      </c>
    </row>
    <row r="78" ht="68" hidden="1" spans="1:26">
      <c r="A78" s="2">
        <v>77</v>
      </c>
      <c r="B78" s="3">
        <v>45577</v>
      </c>
      <c r="C78" s="2" t="s">
        <v>389</v>
      </c>
      <c r="D78" s="2" t="s">
        <v>28</v>
      </c>
      <c r="E78" s="2" t="s">
        <v>527</v>
      </c>
      <c r="F78" s="2">
        <v>75000000</v>
      </c>
      <c r="G78" s="2" t="s">
        <v>528</v>
      </c>
      <c r="H78" s="2" t="s">
        <v>44</v>
      </c>
      <c r="I78" s="2" t="s">
        <v>32</v>
      </c>
      <c r="J78" s="1" t="s">
        <v>33</v>
      </c>
      <c r="K78" s="2" t="s">
        <v>34</v>
      </c>
      <c r="L78" s="2">
        <v>4</v>
      </c>
      <c r="M78" s="2">
        <v>0</v>
      </c>
      <c r="N78" s="2" t="s">
        <v>263</v>
      </c>
      <c r="O78" s="2" t="s">
        <v>529</v>
      </c>
      <c r="P78" s="2" t="s">
        <v>530</v>
      </c>
      <c r="Q78" s="2">
        <v>67125906</v>
      </c>
      <c r="R78" s="2">
        <v>68616650.51</v>
      </c>
      <c r="S78" s="2">
        <v>65975361.99</v>
      </c>
      <c r="T78" s="2" t="s">
        <v>263</v>
      </c>
      <c r="U78" s="2">
        <v>67125906</v>
      </c>
      <c r="V78" s="4">
        <f t="shared" si="2"/>
        <v>0.10498792</v>
      </c>
      <c r="Y78" s="12" t="s">
        <v>531</v>
      </c>
      <c r="Z78" s="12" t="s">
        <v>532</v>
      </c>
    </row>
    <row r="79" ht="135" hidden="1" spans="1:26">
      <c r="A79" s="2">
        <v>78</v>
      </c>
      <c r="B79" s="3">
        <v>45573</v>
      </c>
      <c r="C79" s="2" t="s">
        <v>389</v>
      </c>
      <c r="D79" s="2" t="s">
        <v>28</v>
      </c>
      <c r="E79" s="2" t="s">
        <v>533</v>
      </c>
      <c r="F79" s="2">
        <v>4515591.56</v>
      </c>
      <c r="G79" s="2" t="s">
        <v>534</v>
      </c>
      <c r="H79" s="2" t="s">
        <v>149</v>
      </c>
      <c r="I79" s="2" t="s">
        <v>32</v>
      </c>
      <c r="J79" s="2" t="s">
        <v>39</v>
      </c>
      <c r="K79" s="2" t="s">
        <v>114</v>
      </c>
      <c r="L79" s="2">
        <v>403</v>
      </c>
      <c r="M79" s="2">
        <v>3</v>
      </c>
      <c r="N79" s="2" t="s">
        <v>535</v>
      </c>
      <c r="O79" s="2" t="s">
        <v>536</v>
      </c>
      <c r="P79" s="2" t="s">
        <v>537</v>
      </c>
      <c r="Q79" s="2">
        <v>3828720.61</v>
      </c>
      <c r="R79" s="2">
        <v>3828726.44</v>
      </c>
      <c r="S79" s="2">
        <v>3828735.38</v>
      </c>
      <c r="T79" s="2" t="s">
        <v>535</v>
      </c>
      <c r="U79" s="2">
        <v>3828720.61</v>
      </c>
      <c r="V79" s="4">
        <f t="shared" si="2"/>
        <v>0.152110956199945</v>
      </c>
      <c r="Y79" s="12" t="s">
        <v>538</v>
      </c>
      <c r="Z79" s="12" t="s">
        <v>539</v>
      </c>
    </row>
    <row r="80" ht="68" hidden="1" spans="1:26">
      <c r="A80" s="2">
        <v>79</v>
      </c>
      <c r="B80" s="3">
        <v>45559</v>
      </c>
      <c r="C80" s="2" t="s">
        <v>389</v>
      </c>
      <c r="D80" s="2" t="s">
        <v>28</v>
      </c>
      <c r="E80" s="2" t="s">
        <v>540</v>
      </c>
      <c r="F80" s="2">
        <v>6158367.04</v>
      </c>
      <c r="G80" s="2" t="s">
        <v>221</v>
      </c>
      <c r="H80" s="2" t="s">
        <v>177</v>
      </c>
      <c r="I80" s="2" t="s">
        <v>32</v>
      </c>
      <c r="J80" s="2" t="s">
        <v>39</v>
      </c>
      <c r="K80" s="2" t="s">
        <v>114</v>
      </c>
      <c r="L80" s="2">
        <v>654</v>
      </c>
      <c r="M80" s="2">
        <v>0</v>
      </c>
      <c r="N80" s="2" t="s">
        <v>441</v>
      </c>
      <c r="O80" s="2" t="s">
        <v>541</v>
      </c>
      <c r="P80" s="2" t="s">
        <v>542</v>
      </c>
      <c r="Q80" s="2">
        <v>5173163.8</v>
      </c>
      <c r="R80" s="2">
        <v>5173669.4</v>
      </c>
      <c r="S80" s="2">
        <v>5174072.16</v>
      </c>
      <c r="T80" s="2" t="s">
        <v>441</v>
      </c>
      <c r="U80" s="2">
        <v>5173163.8</v>
      </c>
      <c r="V80" s="4">
        <f t="shared" si="2"/>
        <v>0.159977999622445</v>
      </c>
      <c r="Y80" s="12" t="s">
        <v>543</v>
      </c>
      <c r="Z80" s="12" t="s">
        <v>544</v>
      </c>
    </row>
    <row r="81" ht="84" hidden="1" spans="1:26">
      <c r="A81" s="2">
        <v>80</v>
      </c>
      <c r="B81" s="3">
        <v>45555</v>
      </c>
      <c r="C81" s="2" t="s">
        <v>389</v>
      </c>
      <c r="D81" s="2" t="s">
        <v>28</v>
      </c>
      <c r="E81" s="2" t="s">
        <v>545</v>
      </c>
      <c r="F81" s="2">
        <v>10512539.41</v>
      </c>
      <c r="G81" s="2" t="s">
        <v>546</v>
      </c>
      <c r="H81" s="2" t="s">
        <v>547</v>
      </c>
      <c r="I81" s="2" t="s">
        <v>32</v>
      </c>
      <c r="J81" s="2" t="s">
        <v>39</v>
      </c>
      <c r="K81" s="2" t="s">
        <v>114</v>
      </c>
      <c r="L81" s="2">
        <v>829</v>
      </c>
      <c r="M81" s="2">
        <v>5</v>
      </c>
      <c r="N81" s="2" t="s">
        <v>548</v>
      </c>
      <c r="O81" s="2" t="s">
        <v>549</v>
      </c>
      <c r="P81" s="2" t="s">
        <v>550</v>
      </c>
      <c r="Q81" s="2">
        <v>8766011.66</v>
      </c>
      <c r="R81" s="2">
        <v>8766360.82</v>
      </c>
      <c r="S81" s="2">
        <v>8767452.61</v>
      </c>
      <c r="T81" s="2" t="s">
        <v>548</v>
      </c>
      <c r="U81" s="2">
        <v>8766011.66</v>
      </c>
      <c r="V81" s="4">
        <f t="shared" si="2"/>
        <v>0.166137569799607</v>
      </c>
      <c r="Y81" s="12" t="s">
        <v>551</v>
      </c>
      <c r="Z81" s="12" t="s">
        <v>552</v>
      </c>
    </row>
    <row r="82" ht="84" hidden="1" spans="1:26">
      <c r="A82" s="2">
        <v>81</v>
      </c>
      <c r="B82" s="3">
        <v>45554</v>
      </c>
      <c r="C82" s="2" t="s">
        <v>389</v>
      </c>
      <c r="D82" s="2" t="s">
        <v>28</v>
      </c>
      <c r="E82" s="2" t="s">
        <v>553</v>
      </c>
      <c r="F82" s="2">
        <v>10156706.32</v>
      </c>
      <c r="G82" s="2" t="s">
        <v>554</v>
      </c>
      <c r="H82" s="2" t="s">
        <v>555</v>
      </c>
      <c r="I82" s="2" t="s">
        <v>32</v>
      </c>
      <c r="J82" s="2" t="s">
        <v>39</v>
      </c>
      <c r="K82" s="2" t="s">
        <v>114</v>
      </c>
      <c r="L82" s="2">
        <v>1202</v>
      </c>
      <c r="M82" s="2">
        <v>3</v>
      </c>
      <c r="N82" s="2" t="s">
        <v>556</v>
      </c>
      <c r="O82" s="2" t="s">
        <v>557</v>
      </c>
      <c r="P82" s="2" t="s">
        <v>558</v>
      </c>
      <c r="Q82" s="2">
        <v>8517829.06</v>
      </c>
      <c r="R82" s="2">
        <v>8517832.04</v>
      </c>
      <c r="S82" s="2">
        <v>8517833.59</v>
      </c>
      <c r="T82" s="2" t="s">
        <v>556</v>
      </c>
      <c r="U82" s="2">
        <v>8517829.06</v>
      </c>
      <c r="V82" s="4">
        <f t="shared" si="2"/>
        <v>0.161359126508642</v>
      </c>
      <c r="Y82" s="12" t="s">
        <v>559</v>
      </c>
      <c r="Z82" s="12" t="s">
        <v>560</v>
      </c>
    </row>
    <row r="83" ht="236" spans="1:26">
      <c r="A83" s="2">
        <v>82</v>
      </c>
      <c r="B83" s="3">
        <v>45518</v>
      </c>
      <c r="C83" s="2" t="s">
        <v>389</v>
      </c>
      <c r="D83" s="2" t="s">
        <v>28</v>
      </c>
      <c r="E83" s="2" t="s">
        <v>561</v>
      </c>
      <c r="F83" s="2">
        <v>196470000</v>
      </c>
      <c r="G83" s="2" t="s">
        <v>562</v>
      </c>
      <c r="H83" s="2" t="s">
        <v>44</v>
      </c>
      <c r="I83" s="2" t="s">
        <v>237</v>
      </c>
      <c r="J83" s="1" t="s">
        <v>33</v>
      </c>
      <c r="K83" s="2" t="s">
        <v>54</v>
      </c>
      <c r="L83" s="2">
        <v>4</v>
      </c>
      <c r="M83" s="2">
        <v>0</v>
      </c>
      <c r="N83" s="2" t="s">
        <v>563</v>
      </c>
      <c r="O83" s="2" t="s">
        <v>564</v>
      </c>
      <c r="P83" s="2" t="s">
        <v>565</v>
      </c>
      <c r="Q83" s="2">
        <v>180320166</v>
      </c>
      <c r="R83" s="2">
        <v>180654165</v>
      </c>
      <c r="S83" s="8">
        <v>180496989</v>
      </c>
      <c r="T83" s="2" t="s">
        <v>563</v>
      </c>
      <c r="U83" s="2">
        <v>180320166</v>
      </c>
      <c r="V83" s="4">
        <f t="shared" si="2"/>
        <v>0.0822000000000001</v>
      </c>
      <c r="Y83" s="12" t="s">
        <v>566</v>
      </c>
      <c r="Z83" s="12" t="s">
        <v>567</v>
      </c>
    </row>
    <row r="84" ht="118" spans="1:26">
      <c r="A84" s="2">
        <v>83</v>
      </c>
      <c r="B84" s="3">
        <v>45511</v>
      </c>
      <c r="C84" s="2" t="s">
        <v>389</v>
      </c>
      <c r="D84" s="2" t="s">
        <v>28</v>
      </c>
      <c r="E84" s="2" t="s">
        <v>568</v>
      </c>
      <c r="F84" s="2">
        <v>18345644.11</v>
      </c>
      <c r="G84" s="2" t="s">
        <v>569</v>
      </c>
      <c r="H84" s="2" t="s">
        <v>383</v>
      </c>
      <c r="I84" s="2" t="s">
        <v>8</v>
      </c>
      <c r="J84" s="1" t="s">
        <v>33</v>
      </c>
      <c r="K84" s="2" t="s">
        <v>54</v>
      </c>
      <c r="L84" s="2">
        <v>27</v>
      </c>
      <c r="M84" s="2">
        <v>5</v>
      </c>
      <c r="N84" s="2" t="s">
        <v>570</v>
      </c>
      <c r="O84" s="2" t="s">
        <v>571</v>
      </c>
      <c r="P84" s="2" t="s">
        <v>572</v>
      </c>
      <c r="Q84" s="2">
        <v>15801103.27</v>
      </c>
      <c r="R84" s="2">
        <v>15696349.64</v>
      </c>
      <c r="S84" s="2">
        <v>16116648.35</v>
      </c>
      <c r="T84" s="2" t="s">
        <v>570</v>
      </c>
      <c r="U84" s="2">
        <v>15801103.27</v>
      </c>
      <c r="V84" s="4">
        <f t="shared" si="2"/>
        <v>0.138700000105911</v>
      </c>
      <c r="Y84" s="12" t="s">
        <v>573</v>
      </c>
      <c r="Z84" s="12" t="s">
        <v>574</v>
      </c>
    </row>
    <row r="85" ht="101" spans="1:26">
      <c r="A85" s="2">
        <v>84</v>
      </c>
      <c r="B85" s="3">
        <v>45505</v>
      </c>
      <c r="C85" s="2" t="s">
        <v>389</v>
      </c>
      <c r="D85" s="2" t="s">
        <v>28</v>
      </c>
      <c r="E85" s="2" t="s">
        <v>575</v>
      </c>
      <c r="F85" s="2">
        <v>44964973.66</v>
      </c>
      <c r="G85" s="2" t="s">
        <v>576</v>
      </c>
      <c r="H85" s="14" t="s">
        <v>229</v>
      </c>
      <c r="I85" s="2" t="s">
        <v>32</v>
      </c>
      <c r="J85" s="1" t="s">
        <v>33</v>
      </c>
      <c r="K85" s="2" t="s">
        <v>54</v>
      </c>
      <c r="L85" s="2">
        <v>17</v>
      </c>
      <c r="M85" s="2">
        <v>3</v>
      </c>
      <c r="N85" s="2" t="s">
        <v>577</v>
      </c>
      <c r="O85" s="2" t="s">
        <v>578</v>
      </c>
      <c r="P85" s="2" t="s">
        <v>579</v>
      </c>
      <c r="Q85" s="2">
        <v>36259754.76</v>
      </c>
      <c r="R85" s="2">
        <v>36489076.13</v>
      </c>
      <c r="S85" s="2">
        <v>36673432.52</v>
      </c>
      <c r="T85" s="2" t="s">
        <v>577</v>
      </c>
      <c r="U85" s="2">
        <v>36259754.76</v>
      </c>
      <c r="V85" s="4">
        <f t="shared" si="2"/>
        <v>0.19359999998719</v>
      </c>
      <c r="X85" s="2">
        <v>0.985</v>
      </c>
      <c r="Y85" s="12" t="s">
        <v>580</v>
      </c>
      <c r="Z85" s="12" t="s">
        <v>581</v>
      </c>
    </row>
    <row r="86" ht="101" spans="1:26">
      <c r="A86" s="2">
        <v>85</v>
      </c>
      <c r="B86" s="3">
        <v>45495</v>
      </c>
      <c r="C86" s="2" t="s">
        <v>389</v>
      </c>
      <c r="D86" s="2" t="s">
        <v>28</v>
      </c>
      <c r="E86" s="2" t="s">
        <v>582</v>
      </c>
      <c r="F86" s="2">
        <v>310722200</v>
      </c>
      <c r="G86" s="2" t="s">
        <v>583</v>
      </c>
      <c r="H86" s="2" t="s">
        <v>44</v>
      </c>
      <c r="I86" s="2" t="s">
        <v>8</v>
      </c>
      <c r="J86" s="1" t="s">
        <v>33</v>
      </c>
      <c r="K86" s="2" t="s">
        <v>54</v>
      </c>
      <c r="L86" s="2">
        <v>27</v>
      </c>
      <c r="M86" s="2">
        <v>1</v>
      </c>
      <c r="N86" s="2" t="s">
        <v>306</v>
      </c>
      <c r="O86" s="2" t="s">
        <v>584</v>
      </c>
      <c r="P86" s="2" t="s">
        <v>585</v>
      </c>
      <c r="Q86" s="2">
        <v>273062669</v>
      </c>
      <c r="R86" s="2">
        <v>273559825</v>
      </c>
      <c r="S86" s="2">
        <v>272845169</v>
      </c>
      <c r="T86" s="2" t="s">
        <v>306</v>
      </c>
      <c r="U86" s="2">
        <v>273062669</v>
      </c>
      <c r="V86" s="4">
        <f t="shared" si="2"/>
        <v>0.121200001158591</v>
      </c>
      <c r="Y86" s="12" t="s">
        <v>586</v>
      </c>
      <c r="Z86" s="12" t="s">
        <v>587</v>
      </c>
    </row>
    <row r="87" ht="84" hidden="1" spans="1:26">
      <c r="A87" s="2">
        <v>86</v>
      </c>
      <c r="B87" s="3">
        <v>45477</v>
      </c>
      <c r="C87" s="2" t="s">
        <v>389</v>
      </c>
      <c r="D87" s="2" t="s">
        <v>28</v>
      </c>
      <c r="E87" s="2" t="s">
        <v>588</v>
      </c>
      <c r="F87" s="2">
        <v>8469557.72</v>
      </c>
      <c r="G87" s="2" t="s">
        <v>589</v>
      </c>
      <c r="H87" s="2" t="s">
        <v>44</v>
      </c>
      <c r="I87" s="2" t="s">
        <v>32</v>
      </c>
      <c r="J87" s="2" t="s">
        <v>39</v>
      </c>
      <c r="K87" s="2" t="s">
        <v>114</v>
      </c>
      <c r="L87" s="2">
        <v>1140</v>
      </c>
      <c r="M87" s="2">
        <v>1</v>
      </c>
      <c r="N87" s="2" t="s">
        <v>590</v>
      </c>
      <c r="O87" s="2" t="s">
        <v>591</v>
      </c>
      <c r="P87" s="2" t="s">
        <v>592</v>
      </c>
      <c r="Q87" s="2">
        <v>7193735.42</v>
      </c>
      <c r="R87" s="2">
        <v>7194458.72</v>
      </c>
      <c r="S87" s="2">
        <v>7195738.27</v>
      </c>
      <c r="T87" s="2" t="s">
        <v>590</v>
      </c>
      <c r="U87" s="2">
        <v>7193735.42</v>
      </c>
      <c r="V87" s="4">
        <f t="shared" si="2"/>
        <v>0.150636236528299</v>
      </c>
      <c r="Y87" s="12" t="s">
        <v>593</v>
      </c>
      <c r="Z87" s="12" t="s">
        <v>594</v>
      </c>
    </row>
    <row r="88" ht="84" hidden="1" spans="1:26">
      <c r="A88" s="2">
        <v>87</v>
      </c>
      <c r="B88" s="3">
        <v>45477</v>
      </c>
      <c r="C88" s="2" t="s">
        <v>389</v>
      </c>
      <c r="D88" s="2" t="s">
        <v>28</v>
      </c>
      <c r="E88" s="2" t="s">
        <v>595</v>
      </c>
      <c r="F88" s="2">
        <v>12860182.14</v>
      </c>
      <c r="G88" s="2" t="s">
        <v>596</v>
      </c>
      <c r="H88" s="2" t="s">
        <v>597</v>
      </c>
      <c r="I88" s="2" t="s">
        <v>32</v>
      </c>
      <c r="J88" s="2" t="s">
        <v>39</v>
      </c>
      <c r="K88" s="2" t="s">
        <v>114</v>
      </c>
      <c r="L88" s="2">
        <v>745</v>
      </c>
      <c r="M88" s="2">
        <v>1</v>
      </c>
      <c r="N88" s="2" t="s">
        <v>598</v>
      </c>
      <c r="O88" s="2" t="s">
        <v>599</v>
      </c>
      <c r="P88" s="2" t="s">
        <v>600</v>
      </c>
      <c r="Q88" s="2">
        <v>10682838.66</v>
      </c>
      <c r="R88" s="2">
        <v>10682845.17</v>
      </c>
      <c r="S88" s="2">
        <v>10682850.33</v>
      </c>
      <c r="T88" s="2" t="s">
        <v>598</v>
      </c>
      <c r="U88" s="2">
        <v>10682838.66</v>
      </c>
      <c r="V88" s="4">
        <f t="shared" si="2"/>
        <v>0.16930891462475</v>
      </c>
      <c r="Y88" s="12" t="s">
        <v>601</v>
      </c>
      <c r="Z88" s="12" t="s">
        <v>602</v>
      </c>
    </row>
    <row r="89" ht="118" hidden="1" spans="1:26">
      <c r="A89" s="2">
        <v>88</v>
      </c>
      <c r="B89" s="3">
        <v>45477</v>
      </c>
      <c r="C89" s="2" t="s">
        <v>389</v>
      </c>
      <c r="D89" s="2" t="s">
        <v>28</v>
      </c>
      <c r="E89" s="2" t="s">
        <v>603</v>
      </c>
      <c r="F89" s="2">
        <v>10568787.54</v>
      </c>
      <c r="G89" s="2" t="s">
        <v>501</v>
      </c>
      <c r="H89" s="2" t="s">
        <v>276</v>
      </c>
      <c r="I89" s="2" t="s">
        <v>32</v>
      </c>
      <c r="J89" s="2" t="s">
        <v>39</v>
      </c>
      <c r="K89" s="2" t="s">
        <v>114</v>
      </c>
      <c r="L89" s="2">
        <v>4</v>
      </c>
      <c r="M89" s="2">
        <v>2</v>
      </c>
      <c r="N89" s="2" t="s">
        <v>604</v>
      </c>
      <c r="O89" s="2" t="s">
        <v>605</v>
      </c>
      <c r="Q89" s="2">
        <v>9219153.37</v>
      </c>
      <c r="R89" s="2">
        <v>9228007.6</v>
      </c>
      <c r="T89" s="2" t="s">
        <v>604</v>
      </c>
      <c r="U89" s="2">
        <v>9219153.37</v>
      </c>
      <c r="V89" s="4">
        <f t="shared" si="2"/>
        <v>0.127700000108054</v>
      </c>
      <c r="Y89" s="12" t="s">
        <v>606</v>
      </c>
      <c r="Z89" s="12" t="s">
        <v>607</v>
      </c>
    </row>
    <row r="90" ht="118" hidden="1" spans="1:26">
      <c r="A90" s="2">
        <v>89</v>
      </c>
      <c r="B90" s="3">
        <v>45471</v>
      </c>
      <c r="C90" s="2" t="s">
        <v>389</v>
      </c>
      <c r="D90" s="2" t="s">
        <v>28</v>
      </c>
      <c r="E90" s="2" t="s">
        <v>608</v>
      </c>
      <c r="F90" s="2">
        <v>36121988.72</v>
      </c>
      <c r="G90" s="2" t="s">
        <v>609</v>
      </c>
      <c r="H90" s="2" t="s">
        <v>177</v>
      </c>
      <c r="I90" s="2" t="s">
        <v>32</v>
      </c>
      <c r="J90" s="2" t="s">
        <v>39</v>
      </c>
      <c r="K90" s="2" t="s">
        <v>114</v>
      </c>
      <c r="L90" s="2">
        <v>669</v>
      </c>
      <c r="M90" s="2">
        <v>4</v>
      </c>
      <c r="N90" s="2" t="s">
        <v>610</v>
      </c>
      <c r="O90" s="2" t="s">
        <v>611</v>
      </c>
      <c r="P90" s="2" t="s">
        <v>612</v>
      </c>
      <c r="Q90" s="2">
        <v>31138929.05</v>
      </c>
      <c r="R90" s="2">
        <v>31139301.16</v>
      </c>
      <c r="S90" s="2">
        <v>31139566.02</v>
      </c>
      <c r="T90" s="2" t="s">
        <v>610</v>
      </c>
      <c r="U90" s="2">
        <v>31138929.05</v>
      </c>
      <c r="V90" s="4">
        <f t="shared" si="2"/>
        <v>0.137950867230103</v>
      </c>
      <c r="Y90" s="12" t="s">
        <v>613</v>
      </c>
      <c r="Z90" s="12" t="s">
        <v>614</v>
      </c>
    </row>
    <row r="91" ht="135" hidden="1" spans="1:26">
      <c r="A91" s="2">
        <v>90</v>
      </c>
      <c r="B91" s="3">
        <v>45470</v>
      </c>
      <c r="C91" s="2" t="s">
        <v>389</v>
      </c>
      <c r="D91" s="2" t="s">
        <v>28</v>
      </c>
      <c r="E91" s="2" t="s">
        <v>615</v>
      </c>
      <c r="F91" s="2">
        <v>12159443.93</v>
      </c>
      <c r="G91" s="2" t="s">
        <v>121</v>
      </c>
      <c r="H91" s="2" t="s">
        <v>276</v>
      </c>
      <c r="I91" s="2" t="s">
        <v>32</v>
      </c>
      <c r="J91" s="2" t="s">
        <v>39</v>
      </c>
      <c r="K91" s="2" t="s">
        <v>114</v>
      </c>
      <c r="L91" s="2">
        <v>112</v>
      </c>
      <c r="M91" s="2">
        <v>4</v>
      </c>
      <c r="N91" s="2" t="s">
        <v>616</v>
      </c>
      <c r="O91" s="2" t="s">
        <v>123</v>
      </c>
      <c r="P91" s="2" t="s">
        <v>617</v>
      </c>
      <c r="Q91" s="2">
        <v>10251418.22</v>
      </c>
      <c r="R91" s="2">
        <v>10251420.27</v>
      </c>
      <c r="S91" s="2">
        <v>10251424.79</v>
      </c>
      <c r="T91" s="2" t="s">
        <v>616</v>
      </c>
      <c r="U91" s="2">
        <v>10251418.22</v>
      </c>
      <c r="V91" s="4">
        <f t="shared" si="2"/>
        <v>0.156917184781163</v>
      </c>
      <c r="Y91" s="12" t="s">
        <v>618</v>
      </c>
      <c r="Z91" s="12" t="s">
        <v>619</v>
      </c>
    </row>
  </sheetData>
  <autoFilter xmlns:etc="http://www.wps.cn/officeDocument/2017/etCustomData" ref="A1:AA91" etc:filterBottomFollowUsedRange="0">
    <filterColumn colId="10">
      <customFilters>
        <customFilter operator="equal" val="综合评估法"/>
      </customFilters>
    </filterColumn>
    <extLst/>
  </autoFilter>
  <hyperlinks>
    <hyperlink ref="Z2" r:id="rId1" display="1.安庆市宜秀区大龙山镇永安初级中学智能化采购安装项目(1).pdf"/>
    <hyperlink ref="Z3" r:id="rId2" display="2.石关国家体育训练基地电力扩容改造工程（二期）.pdf"/>
    <hyperlink ref="Z4" r:id="rId3" display="3.安庆市第一人民医院孝肃路院区5号楼整体维修工程.pdf"/>
    <hyperlink ref="Z5" r:id="rId4" display="4.安庆北部新城YX09-0106B地块还建房项目10kV配电工程.pdf"/>
    <hyperlink ref="Z6" r:id="rId5" display="5.中国电信股份有限公司安庆分公司太湖通信综合楼.pdf"/>
    <hyperlink ref="Z7" r:id="rId6" display="6.安庆市大观现代物流园皖河片区建设一期项目EPC.pdf"/>
    <hyperlink ref="Z8" r:id="rId7" display="7.上河院项目（安庆市DQ01单元2301B地块）施工总承包工程.pdf"/>
    <hyperlink ref="Y8" r:id="rId8" display="7.上河院项目（安庆市DQ01单元2301B地块）施工总承包工程.xls"/>
    <hyperlink ref="Z9" r:id="rId9" display="8.安庆北部新城产业厂房项目——年产6GW光伏N型异质结电池片及6GW光伏组件生产基地厂房建设项目10kV配电EPC总承包.pdf"/>
    <hyperlink ref="Z10" r:id="rId10" display="9.安庆中登新能源开闭所配电EPC项目.pdf"/>
    <hyperlink ref="Z11" r:id="rId11" display="10.安庆综合保税区二期厂房改造工程-雨棚安装工程.pdf"/>
    <hyperlink ref="Y11" r:id="rId12" display="10.安庆综合保税区二期厂房改造工程-雨棚安装工程.xls"/>
    <hyperlink ref="Z12" r:id="rId13" display="11.上河院项目（安庆市DQ01单元2301B地块）土石方工程.pdf"/>
    <hyperlink ref="Y12" r:id="rId14" display="11.上河院项目（安庆市DQ01单元2301B地块）土石方工程.xls"/>
    <hyperlink ref="Z13" r:id="rId15" display="12.妇幼一期智能化工程项目招标公告.pdf"/>
    <hyperlink ref="Y13" r:id="rId16" display="12.妇幼一期智能化工程项目招标公告.xls"/>
    <hyperlink ref="Z14" r:id="rId17" display="13.安庆市特殊教育学校扩容EPC项目.pdf"/>
    <hyperlink ref="Y14" r:id="rId18" display="13.安庆市特殊教育学校扩容EPC项目.docx"/>
    <hyperlink ref="Z15" r:id="rId19" display="14.年产20发可回收液体火箭制造厂房建设项目EPC总承包.pdf"/>
    <hyperlink ref="Y15" r:id="rId20" display="14.年产20发可回收液体火箭制造厂房建设项目EPC总承包.xls"/>
    <hyperlink ref="Z16" r:id="rId21" display="15.宜秀开发区A-5地块原利欧公司新建厂房及改造升级项目（安庆市宜秀经开区智能制造产业园及配套基础设施建设项目）(1).pdf"/>
    <hyperlink ref="Y16" r:id="rId22" display="15.宜秀开发区A-5地块原利欧公司新建厂房及改造升级项目（安庆市宜秀经开区智能制造产业园及配套基础设施建设项目）.xls"/>
    <hyperlink ref="Z17" r:id="rId23" display="16.安庆市通盛置业有限公司望湖揽胜小区10kV配电工程（外线部分）.pdf"/>
    <hyperlink ref="Y17" r:id="rId24" display="16.安庆市通盛置业有限公司望湖揽胜小区10kV配电工程（外线部分）.xls"/>
    <hyperlink ref="Z18" r:id="rId25" display="17.安庆高新区山口片还建点工程（二期）10kV外电专线工程.pdf"/>
    <hyperlink ref="Y18" r:id="rId26" display="17.安庆高新区山口片还建点工程（二期）10kV外电专线工程.xls"/>
    <hyperlink ref="Z19" r:id="rId27" display="18.原安庆仁创聚源生态环保科技有限公司厂区规划调整及新建研发楼项目.pdf"/>
    <hyperlink ref="Y19" r:id="rId28" display="18.原安庆仁创聚源生态环保科技有限公司厂区规划调整及新建研发楼项目.xls"/>
    <hyperlink ref="Z20" r:id="rId29" display="19.安庆市滨江新能源材料产业园项目一期二阶段施工总承包工程.pdf"/>
    <hyperlink ref="Y20" r:id="rId30" display="19.安庆市滨江新能源材料产业园项目一期二阶段施工总承包工程.xls"/>
    <hyperlink ref="Z21" r:id="rId31" display="20.宜秀区基础设施补短板建设项目EPC.pdf"/>
    <hyperlink ref="Y21" r:id="rId32" display="20.宜秀区基础设施补短板建设项目EPC.xls"/>
    <hyperlink ref="Z22" r:id="rId33" display="21.妇幼一期建设工程配电项目.pdf"/>
    <hyperlink ref="Y22" r:id="rId34" display="21.妇幼一期建设工程配电项目.xls"/>
    <hyperlink ref="Z23" r:id="rId35" display="22.安徽黄梅戏艺术职业学院实训楼（图书馆）内部配套项目.pdf"/>
    <hyperlink ref="Y23" r:id="rId36" display="22.安徽黄梅戏艺术职业学院实训楼（图书馆）内部配套项目.xls"/>
    <hyperlink ref="Z24" r:id="rId37" display="23.安庆市第一人民医院孝肃路院区急诊1-4层、门诊1-3层维修出新工程.pdf"/>
    <hyperlink ref="Y24" r:id="rId38" display="23.安庆市第一人民医院孝肃路院区急诊1-4层、门诊1-3层维修出新工程.xls"/>
    <hyperlink ref="Z25" r:id="rId39" display="24.安庆奇轩动力科技有限公司G3J10装配线改造兼容H4J15项目.pdf"/>
    <hyperlink ref="Y25" r:id="rId40" display="24.安庆奇轩动力科技有限公司G3J10装配线改造兼容H4J15项目.xls"/>
    <hyperlink ref="Z26" r:id="rId41" display="25.0安庆市汽车能源设施城市功能品质提升项目-白水湖加油站建设项目.pdf"/>
    <hyperlink ref="Y26" r:id="rId42" display="25.安庆市汽车能源设施城市功能品质提升项目-白水湖加油站建设项目.xls"/>
    <hyperlink ref="Z27" r:id="rId43" display="26.安庆市迎江区人民路299号旧房装修改造项目EPC.pdf"/>
    <hyperlink ref="Y27" r:id="rId44" display="26.安庆市迎江区人民路299号旧房装修改造项目EPC.xls"/>
    <hyperlink ref="Z28" r:id="rId45" display="27.安庆市文创家园（C-4公租房.pdf"/>
    <hyperlink ref="Y28" r:id="rId46" display="27.安庆市文创家园（C-4公租房.xls"/>
    <hyperlink ref="Z29" r:id="rId47" display="28.安庆迎江经开区高松柘山片区农机产业园项目.pdf"/>
    <hyperlink ref="Y29" r:id="rId48" display="28.安庆迎江经开区高松柘山片区农机产业园项目.xls"/>
    <hyperlink ref="Z30" r:id="rId49" display="29.神州种谷（种业）科技园工程项目幕墙工程施工.pdf"/>
    <hyperlink ref="Y30" r:id="rId50" display="29.神州种谷（种业）科技园工程项目幕墙工程施工.xls"/>
    <hyperlink ref="Z31" r:id="rId51" display="30.安庆市宜秀区大桥中心学校圣埠小学迁址新建（一期）项目施工.pdf"/>
    <hyperlink ref="Y31" r:id="rId52" display="30.安庆市宜秀区大桥中心学校圣埠小学迁址新建（一期）项目施工.xls"/>
    <hyperlink ref="Z32" r:id="rId53" display="31.安庆经开区还建房小区2024年房屋渗水维修改造项目.pdf"/>
    <hyperlink ref="Y32" r:id="rId54" display="31.安庆经开区还建房小区2024年房屋渗水维修改造项目.xls"/>
    <hyperlink ref="Z33" r:id="rId55" display="32.原活塞环厂内民国建筑改造提升项目（一期）.pdf"/>
    <hyperlink ref="Y33" r:id="rId56" display="32.原活塞环厂内民国建筑改造提升项目（一期）.xls"/>
    <hyperlink ref="Z34" r:id="rId57" display="33.安庆圆梦新区人才之家项目（一期）集中供热 EPC+O 项目.pdf"/>
    <hyperlink ref="Y34" r:id="rId58" display="33.安庆圆梦新区人才之家项目（一期）集中供热 EPC+O 项目.xls"/>
    <hyperlink ref="Z35" r:id="rId59" display="34.安庆经开区产业基础设施提升项目七标段总承包工程.pdf"/>
    <hyperlink ref="Y35" r:id="rId60" display="34.安庆经开区产业基础设施提升项目七标段总承包工程.xls"/>
    <hyperlink ref="Z36" r:id="rId61" display="35.安庆高铁新区高光谱卫星数据中心及卫星制造产线项目工业厂房-1#厂房.pdf"/>
    <hyperlink ref="Y36" r:id="rId62" display="35.安庆高铁新区高光谱卫星数据中心及卫星制造产线项目工业厂房-1#厂房.xls"/>
    <hyperlink ref="Z37" r:id="rId63" display="36.安庆经开区智能高端装备制造产业园（一期）建设项目.pdf"/>
    <hyperlink ref="Y37" r:id="rId64" display="36.安庆经开区智能高端装备制造产业园（一期）建设项目.xls"/>
    <hyperlink ref="Z38" r:id="rId65" display="37.望湖揽胜项目一期供水加压工程设备采购及安装(1).pdf"/>
    <hyperlink ref="Y38" r:id="rId66" display="37.望湖揽胜项目一期供水加压工程设备采购及安装(1).xls"/>
    <hyperlink ref="Z39" r:id="rId67" display="38.安庆奇轩动力科技有限公司发动机缸体和缸盖中间、最终清洗机新建项目（二次）.pdf"/>
    <hyperlink ref="Y39" r:id="rId68" display="38.安庆奇轩动力科技有限公司发动机缸体和缸盖中间、最终清洗机新建项目（二次）.xls"/>
    <hyperlink ref="Z40" r:id="rId69" display="39.安庆双生未来科技城人才公寓项目.pdf"/>
    <hyperlink ref="Y40" r:id="rId70" display="39.安庆双生未来科技城人才公寓项目.xls"/>
    <hyperlink ref="Z41" r:id="rId71" display="40.望湖揽胜项目一期公共部位装饰装修工程.pdf"/>
    <hyperlink ref="Y41" r:id="rId72" display="40.望湖揽胜项目一期公共部位装饰装修工程.xls"/>
    <hyperlink ref="Z42" r:id="rId73" display="41.岳西县三级物流体系建设项目（二期）.pdf"/>
    <hyperlink ref="Y42" r:id="rId74" display="41.岳西县三级物流体系建设项目（二期）一览表.pdf"/>
    <hyperlink ref="Z43" r:id="rId75" display="42.安庆迎江经济开发区提质增效项目-依江新能源汽车零部件产业基地B区建设项目.pdf"/>
    <hyperlink ref="Y43" r:id="rId76" display="42.安庆迎江经济开发区提质增效项目-依江新能源汽车零部件产业基地B区建设项目.xls"/>
    <hyperlink ref="Z44" r:id="rId77" display="43.市三院医养结合能力提升项目设计施工一体化.pdf"/>
    <hyperlink ref="Y44" r:id="rId78" display="43.市三院医养结合能力提升项目设计施工一体化.xls"/>
    <hyperlink ref="Z45" r:id="rId79" display="44.安庆合力车桥有限公司工业车辆车桥智能制造基地一期工程施工总承包.pdf"/>
    <hyperlink ref="Y45" r:id="rId80" display="44.安庆合力车桥有限公司工业车辆车桥智能制造基地一期工程施工总承包.xls"/>
    <hyperlink ref="Z46" r:id="rId81" display="45.赵朴初故居周边空间整治提升项目.pdf"/>
    <hyperlink ref="Y46" r:id="rId82" display="45.赵朴初故居周边空间整治提升项目.xls"/>
    <hyperlink ref="Z47" r:id="rId83" display="46.安庆迎江经济开发区提质增效项目-依江新能源汽车零部件产业基地A区建设项目.pdf"/>
    <hyperlink ref="Y47" r:id="rId84" display="46.安庆迎江经济开发区提质增效项目-依江新能源汽车零部件产业基地A区建设项目.xls"/>
    <hyperlink ref="Z48" r:id="rId85" display="47.安庆市残疾人康复综合服务中心建设项目施工.pdf"/>
    <hyperlink ref="Y48" r:id="rId86" display="47.安庆市残疾人康复综合服务中心建设项目施工.xls"/>
    <hyperlink ref="Z49" r:id="rId87" display="48.工业园安庆皖江高科技投资发展有限公司研发中心厂房消防升级改造项目.pdf"/>
    <hyperlink ref="Y49" r:id="rId88" display="48.工业园安庆皖江高科技投资发展有限公司研发中心厂房消防升级改造项目.xls"/>
    <hyperlink ref="Z50" r:id="rId89" display="49.花凉亭水库水文站生产业务用房建设项目.pdf"/>
    <hyperlink ref="Y50" r:id="rId90" display="49.花凉亭水库水文站生产业务用房建设项目.xls"/>
    <hyperlink ref="Z51" r:id="rId91" display="50.安庆经开区汽车零部件智能制造产业园项目总承包工程.pdf"/>
    <hyperlink ref="Y51" r:id="rId92" display="50.安庆经开区汽车零部件智能制造产业园项目总承包工程.xls"/>
    <hyperlink ref="Z52" r:id="rId93" display="51.望湖揽胜项目二期施工总承包工程.pdf"/>
    <hyperlink ref="Y52" r:id="rId94" display="51望湖揽胜项目二期施工总承包工程.xls"/>
    <hyperlink ref="Z53" r:id="rId95" display="52.望湖揽胜项目一期空气能采购及安装.pdf"/>
    <hyperlink ref="Y53" r:id="rId96" display="52.望湖揽胜项目一期空气能采购及安装.xls"/>
    <hyperlink ref="Z54" r:id="rId97" display="53.望湖揽胜项目一期智能化、三网及有线电视工程.pdf"/>
    <hyperlink ref="Y54" r:id="rId98" display="53.望湖揽胜项目一期智能化、三网及有线电视工程.xls"/>
    <hyperlink ref="Z55" r:id="rId99" display="54.安庆市宜秀区教育体育局晴岚初级中学（含晴岚幼儿园）项目施工.pdf"/>
    <hyperlink ref="Y55" r:id="rId100" display="54.安庆市宜秀区教育体育局晴岚初级中学（含晴岚幼儿园）项目施工.xls"/>
    <hyperlink ref="Z56" r:id="rId101" display="55.安庆市消防训练基地模拟训练设施安装施工项目.pdf"/>
    <hyperlink ref="Y56" r:id="rId102" display="55.安庆市消防训练基地模拟训练设施安装施工项目.xls"/>
    <hyperlink ref="Z57" r:id="rId103" display="56.安庆生态陵园园区主干道道路建设工程.pdf"/>
    <hyperlink ref="Y57" r:id="rId104" display="56.安庆生态陵园园区主干道道路建设工程.xls"/>
    <hyperlink ref="Z58" r:id="rId105" display="57.安庆市迎江区沿江污水处理厂网一体化综合治理工程二期-城区污水治理工程.pdf"/>
    <hyperlink ref="Y58" r:id="rId106" display="57.安庆市迎江区沿江污水处理厂网一体化综合治理工程二期-城区污水治理工程.xlsx"/>
    <hyperlink ref="Z59" r:id="rId107" display="58.芭茅村农文旅融合实训基地一期项目.pdf"/>
    <hyperlink ref="Y59" r:id="rId108" display="58.芭茅村农文旅融合实训基地一期项目.xls"/>
    <hyperlink ref="Z60" r:id="rId109" display="59.安庆市双生谷起步区一期基础设施建设项目三标段.pdf"/>
    <hyperlink ref="Y60" r:id="rId110" display="59.安庆市双生谷起步区一期基础设施建设项目三标段.xls"/>
    <hyperlink ref="Z61" r:id="rId111" display="60.安庆市双生谷起步区一期基础设施建设项目二标段.pdf"/>
    <hyperlink ref="Y61" r:id="rId112" display="60.安庆市双生谷起步区一期基础设施建设项目二标段.xls"/>
    <hyperlink ref="Z62" r:id="rId113" display="61.安庆市迎江区高松柘山片区基础设施建设项目-经一路（一标段）建设工程施工.pdf"/>
    <hyperlink ref="Y62" r:id="rId114" display="61.安庆市迎江区高松柘山片区基础设施建设项目-经一路（一标段）建设工程施工.xls"/>
    <hyperlink ref="Z63" r:id="rId115" display="62.安庆市大观区城镇饮用水水源地综合治理项目EPC.pdf"/>
    <hyperlink ref="Y63" r:id="rId116" display="62.安庆市大观区城镇饮用水水源地综合治理项目EPC.xls"/>
    <hyperlink ref="Z64" r:id="rId117" display="63.迎江区新洲乡长江岸线生态修复及乡村振兴项目—南木村和美乡村精品示范村2024年建设项目.pdf"/>
    <hyperlink ref="Y64" r:id="rId118" display="63.迎江区新洲乡长江岸线生态修复及乡村振兴项目—南木村和美乡村精品示范村2024年建设项目.xls"/>
    <hyperlink ref="Z65" r:id="rId119" display="64.安庆奇轩动力科技有限公司污水设备新建项目.pdf"/>
    <hyperlink ref="Y65" r:id="rId120" display="64.安庆奇轩动力科技有限公司污水设备新建项目.xls"/>
    <hyperlink ref="Z66" r:id="rId121" display="65.振宜汽车有限公司（二厂）污水处理站技改项目设备施工.pdf"/>
    <hyperlink ref="Y66" r:id="rId122" display="65.振宜汽车有限公司（二厂）污水处理站技改项目设备施工.xls"/>
    <hyperlink ref="Z67" r:id="rId123" display="66.安庆经开区高铁新区起步区基础设施建设项目绿化工程—新安路、方庄路、宝龙路、万福河南路、谭桥路、新城大道、振兴路东段、环湖西路.pdf"/>
    <hyperlink ref="Y67" r:id="rId124" display="66.安庆经开区高铁新区起步区基础设施建设项目绿化工程—新安路、方庄路、宝龙路、万福河南路、谭桥路、新城大道、振兴路东段、环湖西路.xls"/>
    <hyperlink ref="Z68" r:id="rId125" display="67.宜秀区祥盛花苑小区及周边排水防涝设施改造项目.pdf"/>
    <hyperlink ref="Y68" r:id="rId126" display="67.宜秀区祥盛花苑小区及周边排水防涝设施改造项目.xls"/>
    <hyperlink ref="Z69" r:id="rId127" display="68.安庆市茶岭镇年丰村和美乡村精品示范村--缘溪步道项目.pdf"/>
    <hyperlink ref="Y69" r:id="rId128" display="68.安庆市茶岭镇年丰村和美乡村精品示范村--缘溪步道项目.xls"/>
    <hyperlink ref="Z70" r:id="rId129" display="69.安庆经开区2024年老旧小区改造工程（海燕东村、银馨花园一期、龙翔小区）.pdf"/>
    <hyperlink ref="Y70" r:id="rId130" display="69.安庆经开区2024年老旧小区改造工程（海燕东村、银馨花园一期、龙翔小区）.xls"/>
    <hyperlink ref="Z71" r:id="rId131" display="70.迎江区新洲乡长江岸线生态修复及乡村振兴项目（二期）-迎江区长江流域江心洲水系水环境综合治理项目（一标段）.pdf"/>
    <hyperlink ref="Y71" r:id="rId132" display="70.迎江区新洲乡长江岸线生态修复及乡村振兴项目（二期）-迎江区长江流域江心洲水系水环境综合治理项目（一标段）.xls"/>
    <hyperlink ref="Z72" r:id="rId133" display="71.望湖揽胜项目一期景观工程(1).pdf"/>
    <hyperlink ref="Y72" r:id="rId134" display="71.望湖揽胜项目一期景观工程(1).xls"/>
    <hyperlink ref="Z73" r:id="rId135" display="72.迎江经开区一号路桥梁建设项目施工.pdf"/>
    <hyperlink ref="Y73" r:id="rId136" display="72.迎江经开区一号路桥梁建设项目施工.xls"/>
    <hyperlink ref="Z74" r:id="rId137" display="73.安庆市山口片区基础设施建设项目（一期）——安庆高新区山口片高压走廊防护带环境整治及场平工程（标段九）.pdf"/>
    <hyperlink ref="Y74" r:id="rId138" display="73.安庆市山口片区基础设施建设项目（一期）——安庆高新区山口片高压走廊防护带环境整治及场平工程（标段九）.xls"/>
    <hyperlink ref="Z75" r:id="rId139" display="74.安庆市山口片区基础设施建设项目（一期）--安庆高新区山口片高压走廊防护带环境整治及场平工程（标段十四）、科甲冲泄洪沟标段二.pdf"/>
    <hyperlink ref="Y75" r:id="rId140" display="74.安庆市山口片区基础设施建设项目（一期）--安庆高新区山口片高压走廊防护带环境整治及场平工程（标段十四）、科甲冲泄洪沟标段二.xls"/>
    <hyperlink ref="Z76" r:id="rId141" display="75.安庆市高铁新区星际荣耀一期项目地块土方工程.pdf"/>
    <hyperlink ref="Y76" r:id="rId142" display="75.安庆市高铁新区星际荣耀一期项目地块土方工程.xls"/>
    <hyperlink ref="Z77" r:id="rId143" display="76.安庆市黄浦路（老峰路—天成路、金星路—方兴路、和春路—春台路）建设工程.pdf"/>
    <hyperlink ref="Y77" r:id="rId144" display="76.安庆市黄浦路（老峰路—天成路、金星路—方兴路、和春路—春台路）建设工程.xls"/>
    <hyperlink ref="Z78" r:id="rId145" display="77.安庆一水厂二期工程设备采购及安装.pdf"/>
    <hyperlink ref="Y78" r:id="rId146" display="77.安庆一水厂二期工程设备采购及安装.xls"/>
    <hyperlink ref="Z79" r:id="rId147" display="78.安庆市山口片区基础设施建设项目（一期）--安庆高新区山口片 2-1 区域排水工程（一期).pdf"/>
    <hyperlink ref="Y79" r:id="rId148" display="78.安庆市山口片区基础设施建设项目（一期）--安庆高新区山口片 2-1 区域排水工程（一期).xls"/>
    <hyperlink ref="Z80" r:id="rId149" display="79.安庆经开区光彩大市场箱涵应急修复工程.pdf"/>
    <hyperlink ref="Y80" r:id="rId150" display="79.安庆经开区光彩大市场箱涵应急修复工程.xls"/>
    <hyperlink ref="Z81" r:id="rId151" display="80.安庆市宜秀区罗岭镇小龙山社区和美乡村精品示范村工程.pdf"/>
    <hyperlink ref="Y81" r:id="rId152" display="80.安庆市宜秀区罗岭镇小龙山社区和美乡村精品示范村工程.xls"/>
    <hyperlink ref="Z82" r:id="rId153" display="81.杨亭村和美乡村精品村（公益性基础设施）建设项目.pdf"/>
    <hyperlink ref="Y82" r:id="rId154" display="81.杨亭村和美乡村精品村（公益性基础设施）建设项目.xls"/>
    <hyperlink ref="Z83" r:id="rId155" display="82.安庆市大观区老城区内涝治理项目沿江西路片区内涝治理、小洋河水环境综合治理工程及安庆市（皖河口）长江生态公园（一期）（EPC.pdf"/>
    <hyperlink ref="Y83" r:id="rId156" display="82.安庆市大观区老城区内涝治理项目沿江西路片区内涝治理、小洋河水环境综合治理工程及安庆市（皖河口）长江生态公园（一期）（EPC.xls"/>
    <hyperlink ref="Z84" r:id="rId157" display="83.安庆市石门湖流域（山口片）水环境综合治理项目-龙塥圩水环境治理工程EPC.pdf"/>
    <hyperlink ref="Y84" r:id="rId158" display="83.安庆市石门湖流域（山口片）水环境综合治理项目-龙塥圩水环境治理工程EPC.xls"/>
    <hyperlink ref="Z85" r:id="rId159" display="84.大寨河及环石塘湖排水防涝整治工程（五标段）（二次）.pdf"/>
    <hyperlink ref="Y85" r:id="rId160" display="84.大寨河及环石塘湖排水防涝整治工程（五标段）（二次）.xls"/>
    <hyperlink ref="Z86" r:id="rId161" display="85.安庆市皖河片疏港道路项目EPC.pdf"/>
    <hyperlink ref="Y86" r:id="rId162" display="85.安庆市皖河片疏港道路项目EPC.xls"/>
    <hyperlink ref="Z87" r:id="rId163" display="86.安庆市秦潭湖公交枢纽站项目（三期）工程施工.pdf"/>
    <hyperlink ref="Y87" r:id="rId164" display="86.安庆市秦潭湖公交枢纽站项目（三期）工程施工.xls"/>
    <hyperlink ref="Z88" r:id="rId165" display="87.将军村南、北村组村容村貌提升及水系综合治理项目.pdf"/>
    <hyperlink ref="Y88" r:id="rId166" display="87.将军村南、北村组村容村貌提升及水系综合治理项目.xls"/>
    <hyperlink ref="Z89" r:id="rId167" display="88.安庆高新区山口片公共管廊及蒸汽污水管网一期工程（八里湖段、连芯段）.pdf"/>
    <hyperlink ref="Y89" r:id="rId168" display="88.安庆高新区山口片公共管廊及蒸汽污水管网一期工程（八里湖段、连芯段）.xls"/>
    <hyperlink ref="Z90" r:id="rId169" display="89.皖西南汽车及零部件产业集散枢纽建设项目——外围路网工程（一期）.pdf"/>
    <hyperlink ref="Y90" r:id="rId170" display="89.皖西南汽车及零部件产业集散枢纽建设项目——外围路网工程（一期）.xls"/>
    <hyperlink ref="Z91" r:id="rId171" display="90.安庆高新区凤凰片综合能效提升项目—蒸汽管网保温材料升级改造及新建林立段管廊工程.pdf"/>
    <hyperlink ref="Y91" r:id="rId172" display="90.安庆高新区凤凰片综合能效提升项目—蒸汽管网保温材料升级改造及新建林立段管廊工程.xl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Yanni</cp:lastModifiedBy>
  <dcterms:created xsi:type="dcterms:W3CDTF">2025-05-17T06:06:00Z</dcterms:created>
  <dcterms:modified xsi:type="dcterms:W3CDTF">2025-08-18T18:10:50Z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51B31298344A4710B538C0BD9A392D70_11</vt:lpwstr>
  </property>
  <property fmtid="{D5CDD505-2E9C-101B-9397-08002B2CF9AE}" pid="3" name="KSOProductBuildVer">
    <vt:lpwstr>2052-12.1.22218.22218</vt:lpwstr>
  </property>
</Properties>
</file>