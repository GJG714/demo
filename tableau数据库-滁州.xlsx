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5080" tabRatio="249"/>
  </bookViews>
  <sheets>
    <sheet name="Sheet2" sheetId="2" r:id="rId1"/>
    <sheet name="Sheet3" sheetId="3" r:id="rId2"/>
  </sheets>
  <definedNames>
    <definedName name="_xlnm._FilterDatabase" localSheetId="0" hidden="1">Sheet2!$A$1:$AO$252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<sst xmlns="http://schemas.openxmlformats.org/spreadsheetml/2006/main" count="3492" uniqueCount="1635">
  <si>
    <t>序号</t>
  </si>
  <si>
    <t>中标候选人公示日期</t>
  </si>
  <si>
    <t>专业分类</t>
  </si>
  <si>
    <t>地区</t>
  </si>
  <si>
    <t>项目名称</t>
  </si>
  <si>
    <t>控制价</t>
  </si>
  <si>
    <t>控制价（设计固定）</t>
  </si>
  <si>
    <t>招标人</t>
  </si>
  <si>
    <t>招标代理机构</t>
  </si>
  <si>
    <t>项目类型</t>
  </si>
  <si>
    <t>方案打分</t>
  </si>
  <si>
    <t>评标办法</t>
  </si>
  <si>
    <t>投标人数量</t>
  </si>
  <si>
    <t>否决数量</t>
  </si>
  <si>
    <t>施工候选人1</t>
  </si>
  <si>
    <t>施工候选人2</t>
  </si>
  <si>
    <t>施工候选人3</t>
  </si>
  <si>
    <t>施工候选人1报价</t>
  </si>
  <si>
    <t>施工候选人2报价</t>
  </si>
  <si>
    <t>施工候选人3报价</t>
  </si>
  <si>
    <t>设计候选人1报价</t>
  </si>
  <si>
    <t>设计候选人2报价</t>
  </si>
  <si>
    <t>设计候选人3报价</t>
  </si>
  <si>
    <t>施工候选人1报价EPC</t>
  </si>
  <si>
    <t>施工候选人2报价EPC</t>
  </si>
  <si>
    <t>施工候选人3报价EPC</t>
  </si>
  <si>
    <t>中标单位</t>
  </si>
  <si>
    <t>设计中标价</t>
  </si>
  <si>
    <t>中标价</t>
  </si>
  <si>
    <t>中标价EPC</t>
  </si>
  <si>
    <t>中标价下浮</t>
  </si>
  <si>
    <t>N值</t>
  </si>
  <si>
    <t>K值</t>
  </si>
  <si>
    <t>E值</t>
  </si>
  <si>
    <t>B值</t>
  </si>
  <si>
    <t>C值</t>
  </si>
  <si>
    <t>C值下浮</t>
  </si>
  <si>
    <t>评标情况一览表</t>
  </si>
  <si>
    <t>招标文件</t>
  </si>
  <si>
    <t>答疑</t>
  </si>
  <si>
    <t>开标记录</t>
  </si>
  <si>
    <t>房建</t>
  </si>
  <si>
    <t>来安县</t>
  </si>
  <si>
    <t>来安县新安镇老旧小区基础设施改造提升项目（北门社区药材公司宿舍楼、卫生局宿舍）二标段</t>
  </si>
  <si>
    <t>来安县城市基础设施开发有限公司、来安县住房和城乡建设局</t>
  </si>
  <si>
    <t>来安县顿丘工程咨询服务有限公司</t>
  </si>
  <si>
    <t>施工总承包</t>
  </si>
  <si>
    <t>否</t>
  </si>
  <si>
    <t>合理价格竞争法</t>
  </si>
  <si>
    <t>安徽维帆建设工程有限公司</t>
  </si>
  <si>
    <t>安徽原一建设有限公司</t>
  </si>
  <si>
    <t>安徽金朝项目管理有限公司</t>
  </si>
  <si>
    <t>1.评标情况一览表.pdf</t>
  </si>
  <si>
    <t>1.招标文件正文(1).pdf</t>
  </si>
  <si>
    <t>来安县新安镇老旧小区基础设施改造提升项目（北门社区药材公司宿舍楼、卫生局宿舍）一标段</t>
  </si>
  <si>
    <t>安徽涨长建设有限公司</t>
  </si>
  <si>
    <t>安徽煌泰建设有限公司</t>
  </si>
  <si>
    <t>2.评标情况一览表.pdf</t>
  </si>
  <si>
    <t>2.招标文件正文(1).pdf</t>
  </si>
  <si>
    <t>来安县新安镇老旧小区基础设施改造提升项目（西门社区钢管厂宿舍、农行宿舍楼、水泥厂宿舍）二标段</t>
  </si>
  <si>
    <t>安徽省冕诚项目管理有限公司</t>
  </si>
  <si>
    <t>安徽环途建设工程有限公司</t>
  </si>
  <si>
    <t>3.评标情况一览表.pdf</t>
  </si>
  <si>
    <t>3.招标文件正文(1).pdf</t>
  </si>
  <si>
    <t>来安县新安镇老旧小区基础设施改造提升项目（西门社区钢管厂宿舍、农行宿舍楼、水泥厂宿舍）三标段</t>
  </si>
  <si>
    <t>安徽德晖建设管理有限公司</t>
  </si>
  <si>
    <t>安徽强能建设工程有限公司</t>
  </si>
  <si>
    <t>4.评标情况一览表.pdf</t>
  </si>
  <si>
    <t>4.招标文件正文(1).pdf</t>
  </si>
  <si>
    <t>来安县新安镇老旧小区基础设施改造提升项目（西门社区钢管厂宿舍、农行宿舍楼、水泥厂宿舍）一标段</t>
  </si>
  <si>
    <t>安徽省宏威建设有限公司</t>
  </si>
  <si>
    <t>安徽中能六控建设有限公司</t>
  </si>
  <si>
    <t xml:space="preserve"> </t>
  </si>
  <si>
    <t>5.评标情况一览表.pdf</t>
  </si>
  <si>
    <t>5.招标文件正文(1).pdf</t>
  </si>
  <si>
    <t>汊河镇相官村标准化车间建设项目</t>
  </si>
  <si>
    <t>来安县汊河镇人民政府</t>
  </si>
  <si>
    <t>信价量化法</t>
  </si>
  <si>
    <t>安徽润茂建筑工程有限公司</t>
  </si>
  <si>
    <t>安徽山水绿城生态发展有限公司</t>
  </si>
  <si>
    <t>安徽徽鸿工程项目管理有限公司</t>
  </si>
  <si>
    <t>6.评标情况一览表.pdf</t>
  </si>
  <si>
    <t>6.招标文件正文(1).pdf</t>
  </si>
  <si>
    <t>来安县城乡供水提升工程南部水厂一体化生产线项目</t>
  </si>
  <si>
    <t>来安县永阳水务投资建设有限公司</t>
  </si>
  <si>
    <t>来安永阳工程咨询有限公司</t>
  </si>
  <si>
    <t>安徽启源建筑工程有限公司</t>
  </si>
  <si>
    <t>安徽东壹建设工程有限公司</t>
  </si>
  <si>
    <t>7.评标情况一览表.xlsx</t>
  </si>
  <si>
    <t>7.招标文件正文(1).pdf</t>
  </si>
  <si>
    <t>国网安徽滁州东源电力工程有限公司来安分公司带电作业车库</t>
  </si>
  <si>
    <t>滁州东源电力工程有限公司</t>
  </si>
  <si>
    <t>安徽宇寅工程项目管理有限公司</t>
  </si>
  <si>
    <t>安徽嘉陈建设有限公司</t>
  </si>
  <si>
    <t>安徽郢都生态园林工程有限公司</t>
  </si>
  <si>
    <t>牵头人：安徽里奇建设有限公司
联合体：安徽广众建设工程有限公司</t>
  </si>
  <si>
    <t>8.评标情况一览表.pdf</t>
  </si>
  <si>
    <t>8.招标文件正文(1).pdf</t>
  </si>
  <si>
    <t>汊河镇黄牌村乐活市集农贸市场项目</t>
  </si>
  <si>
    <t>EPC</t>
  </si>
  <si>
    <t>是</t>
  </si>
  <si>
    <t>EPC综合评估法</t>
  </si>
  <si>
    <t>安徽融亭建设工程有限公司（牵头单位）
 江苏华里设计有限公司（成员单位一）
安徽合景融信商业运营管理有限公司（成员单位二）</t>
  </si>
  <si>
    <t>安徽金朝项目管理有限公司（牵头单位）
中冶华天南京工程技术有限公司（成员单位一）</t>
  </si>
  <si>
    <t>安徽屹舟建筑工程有限公司（牵头单位）
  正道设计有限公司（成员单位一）</t>
  </si>
  <si>
    <t xml:space="preserve"> 安徽融亭建设工程有限公司（牵头单位）
 江苏华里设计有限公司（成员单位一）
安徽合景融信商业运营管理有限公司（成员单位二）</t>
  </si>
  <si>
    <t>9.评标情况一览表.pdf</t>
  </si>
  <si>
    <t>9.招标文件正文(1).pdf</t>
  </si>
  <si>
    <t>来安县大英镇广洋村生物质燃料标准化厂房项目</t>
  </si>
  <si>
    <t>来安县大英镇人民政府</t>
  </si>
  <si>
    <t>安徽诚大建设项目管理有限公司</t>
  </si>
  <si>
    <t>安徽交运建设工程有限公司</t>
  </si>
  <si>
    <t>安徽润飞建设工程有限公司</t>
  </si>
  <si>
    <t>安徽沐屹项目管理有限公司</t>
  </si>
  <si>
    <t>10.评标情况一览表(1).pdf</t>
  </si>
  <si>
    <t>10.招标文件正文.pdf</t>
  </si>
  <si>
    <t>来安县独山镇史郢村回庄组标准化厂房建设项目</t>
  </si>
  <si>
    <t>来安县独山镇人民政府</t>
  </si>
  <si>
    <t>安徽百卉园林有限公司</t>
  </si>
  <si>
    <t>中安鼎盛建设集团有限公司</t>
  </si>
  <si>
    <t>11.评标情况一览表.xlsx</t>
  </si>
  <si>
    <t>11.招标文件正文(1).pdf</t>
  </si>
  <si>
    <t>来安县综合能源服务站项目相官加油站建设项目</t>
  </si>
  <si>
    <t>来安永阳城市建设投资有限公司</t>
  </si>
  <si>
    <t>联合体牵头人：青尧建设有限公司
联合体成员：安徽冠纵建筑有限公司</t>
  </si>
  <si>
    <t>联合体牵头人：安徽浩都建设有限公司
联合体成员：滁州恒新建设工程有限公司</t>
  </si>
  <si>
    <t>联合体牵头人：河南筑泰建筑工程有限公司
联合体成员：安徽省冠禹建设发展有限公司</t>
  </si>
  <si>
    <t>12.评标情况一览表.pdf</t>
  </si>
  <si>
    <t>12.招标文件正文(1).pdf</t>
  </si>
  <si>
    <t>来安县三城镇乡村振兴产业融合示范区建设项目-基础设施提升项目</t>
  </si>
  <si>
    <t>来安县三城镇人民政府</t>
  </si>
  <si>
    <t>安徽宏禄市政工程有限公司（牵头单位）
  江苏兴邦建工集团有限公司（成员单位一）
天尚设计集团有限公司（成员单位二）
安徽喜洋洋农业科技有限公司（成员单位三）</t>
  </si>
  <si>
    <t>安徽兴罗建设集团有限公司（牵头单位）
  安徽铭湖建设工程有限公司（成员单位一）
铭扬工程设计集团有限公司（成员单位二）
安徽中夏基业产业运营集团有限公司（成员单位三）</t>
  </si>
  <si>
    <t>安徽强能建设工程有限公司（牵头单位）
  滁州市嘉冠建设工程有限公司（成员单位一）
华汇工程设计集团股份有限公司（成员单位二）
安徽拈花文旅有限公司（成员单位三）</t>
  </si>
  <si>
    <t xml:space="preserve"> 安徽宏禄市政工程有限公司（牵头单位）
  江苏兴邦建工集团有限公司（成员单位一）
天尚设计集团有限公司（成员单位二）
安徽喜洋洋农业科技有限公司（成员单位三）</t>
  </si>
  <si>
    <t>13.评标情况一览表.pdf</t>
  </si>
  <si>
    <t>13.招标文件正文(1).pdf</t>
  </si>
  <si>
    <t>市本级</t>
  </si>
  <si>
    <t>滁州经开区永阳路标准化厂房及宿舍等配套设施工程改造一期空调自控系统工程</t>
  </si>
  <si>
    <t>安徽同康实业发展有限公司</t>
  </si>
  <si>
    <t>滁州市城投工程咨询管理有限公司</t>
  </si>
  <si>
    <t>信价量化法超
300 家转为合理价格竞争法</t>
  </si>
  <si>
    <t>安徽强渠建设集团有限公司</t>
  </si>
  <si>
    <t>安徽龙振建设有限公司</t>
  </si>
  <si>
    <t>14.评标情况一览表.pdf</t>
  </si>
  <si>
    <t>14.招标文件正文(1).pdf</t>
  </si>
  <si>
    <t>滁州市公共实训基地项目施工</t>
  </si>
  <si>
    <t>滁州市人力资源和社会保障局</t>
  </si>
  <si>
    <t>安徽拓宙建设工程有限公司</t>
  </si>
  <si>
    <t>安徽渤一建设工程有限公司</t>
  </si>
  <si>
    <t>安徽广荣建设工程有限公司</t>
  </si>
  <si>
    <t>15.附件：评标情况一览表.xlsx</t>
  </si>
  <si>
    <t>15.招标文件正文(1).pdf</t>
  </si>
  <si>
    <t>亭城璟悦里项目公区精装修施工</t>
  </si>
  <si>
    <t>滁州市鑫通置业有限公司</t>
  </si>
  <si>
    <t>安徽新城建设有限公司</t>
  </si>
  <si>
    <t>安徽长天建筑工程有限公司</t>
  </si>
  <si>
    <t>16.附件：评标情况一览表.xlsx</t>
  </si>
  <si>
    <t>16.招标文件正文(1).pdf</t>
  </si>
  <si>
    <t>高庄花园一期工程三网通信智能化项目</t>
  </si>
  <si>
    <t>滁州市同创建设投资有限责任公司</t>
  </si>
  <si>
    <t>综合评估法</t>
  </si>
  <si>
    <t>思创数码科技股份有限公司</t>
  </si>
  <si>
    <t>中通服和信科技有限公司</t>
  </si>
  <si>
    <t>17.附件：评标情况一览表.xlsx</t>
  </si>
  <si>
    <t>17.招标文件正文(1).pdf</t>
  </si>
  <si>
    <t>高庄花园一期工程三网通信智能化项目.xlsx</t>
  </si>
  <si>
    <t>全椒县人民法院经济开发区人民法庭项目暖通工程</t>
  </si>
  <si>
    <t>全椒县人民法院</t>
  </si>
  <si>
    <t>安徽求是工程建设咨询有限公司</t>
  </si>
  <si>
    <t>安徽原建建设有限公司</t>
  </si>
  <si>
    <t>安徽达聚环境科技有限公司</t>
  </si>
  <si>
    <t>安徽省现代冷气技术工程有限公司</t>
  </si>
  <si>
    <t>18.附件：评标情况一览表.xlsx</t>
  </si>
  <si>
    <t>18.招标文件正文(1).pdf</t>
  </si>
  <si>
    <t>全椒县人民法院经济开发区人民法庭项目暖通工程.xlsx</t>
  </si>
  <si>
    <t>来六高速施官服务区加油站施工项目</t>
  </si>
  <si>
    <t>安徽来六高速公路开发有限公司</t>
  </si>
  <si>
    <t>安徽家骎建设工程有限公司（牵头方）
甘肃一安建设科技集团有限公司（成员方）</t>
  </si>
  <si>
    <t>安徽勇永建设工程有限公司（牵头方）
河南轩航建筑工程有限公司（成员方）</t>
  </si>
  <si>
    <t>安徽天帆建筑工程有限公司（牵头方）
百年建设集团有限公司（成员方）</t>
  </si>
  <si>
    <t xml:space="preserve">安徽家骎建设工程有限公司（牵头方）
甘肃一安建设科技集团有限公司（成员方） </t>
  </si>
  <si>
    <t>19.附件：评标情况一览表.xlsx</t>
  </si>
  <si>
    <t>19.招标文件正文(1).pdf</t>
  </si>
  <si>
    <t>全椒县人民法院经济开发区人民法庭建设工程装饰装修项目</t>
  </si>
  <si>
    <t>滁州环宇建设工程有限公司</t>
  </si>
  <si>
    <t>安徽上木建设工程有限公司</t>
  </si>
  <si>
    <t>安徽星大建设项目管理有限公司</t>
  </si>
  <si>
    <t>20.附件：评标情况一览表.xlsx</t>
  </si>
  <si>
    <t>20.招标文件正文(1).pdf</t>
  </si>
  <si>
    <t>琅琊区</t>
  </si>
  <si>
    <t>琅琊区西西涧阳明心学馆项目</t>
  </si>
  <si>
    <t>滁州市西西涧生态农业科技发展有限公司</t>
  </si>
  <si>
    <t>EPC+O</t>
  </si>
  <si>
    <t>牵头方：安徽元入建设工程有限公司
 成员方一：安徽省南庐建设工程有限公司
成员方二：浙江恒欣设计集团股份有限公司</t>
  </si>
  <si>
    <t>牵头方：安徽柘中建设工程有限公司
 成员方一：中科(北京)建筑规划设计研究院有限公司
成员方二：安徽烨煌电力科技有限公司</t>
  </si>
  <si>
    <t>牵头方：安徽尚成建设工程有限公司
 成员方：湖南智谋规划工程设计咨询有限责任公司</t>
  </si>
  <si>
    <t>21.附件：评标情况一览表.xlsx</t>
  </si>
  <si>
    <t>21.招标文件正文.pdf</t>
  </si>
  <si>
    <t>清流小学等学校基础设施提升改造项目（二标段）</t>
  </si>
  <si>
    <t>滁州市清流小学</t>
  </si>
  <si>
    <t>安徽明山工程咨询有限公司</t>
  </si>
  <si>
    <t>安徽禹丹建设工程有限公司</t>
  </si>
  <si>
    <t>安徽桂科建设工程有限公司</t>
  </si>
  <si>
    <t>安徽林辉建筑工程有限公司</t>
  </si>
  <si>
    <t>22.附件评标情况一览表.xlsx</t>
  </si>
  <si>
    <t>22.招标文件正文(1).pdf</t>
  </si>
  <si>
    <t>清流小学等学校基础设施提升改造项目（一标段）</t>
  </si>
  <si>
    <t>安徽遇霖建筑工程有限公司</t>
  </si>
  <si>
    <t>凤阳中源建设有限公司</t>
  </si>
  <si>
    <t>滁州宇堃建筑工程有限公司</t>
  </si>
  <si>
    <t>23.附件评标情况一览表.xlsx</t>
  </si>
  <si>
    <t>23.招标文件正文(1).pdf</t>
  </si>
  <si>
    <t>雷桥别院、西涧新村的消防排查、修复项目</t>
  </si>
  <si>
    <t>滁州市琅琊国有资产运营有限公司</t>
  </si>
  <si>
    <t>联合体牵头方：安徽恒豪建筑安装工程有限公司
联合体成员：中鼎建安集团有限公司</t>
  </si>
  <si>
    <t>纵揽建设发展有限公司</t>
  </si>
  <si>
    <t>联合体牵头方：思信集团有限公司
联合体成员：河南置信建筑工程有限公司</t>
  </si>
  <si>
    <t>24.附件：评标情况一览表.pdf</t>
  </si>
  <si>
    <t>24.招标文件正文(1).pdf</t>
  </si>
  <si>
    <t>永阳路人才公寓1#楼及附属项目施工</t>
  </si>
  <si>
    <t>滁州市琅琊高新产业投资发展有限公司</t>
  </si>
  <si>
    <t>安徽嘉山建设有限公司</t>
  </si>
  <si>
    <t>贵弘建设发展有限公司</t>
  </si>
  <si>
    <t>安徽双楼建筑工程有限公司</t>
  </si>
  <si>
    <t>25.附件：评标情况一览表.pdf</t>
  </si>
  <si>
    <t>25.招标文件正文(1).pdf</t>
  </si>
  <si>
    <t>琅琊区天长路人才公寓项目</t>
  </si>
  <si>
    <t>滁州市琅琊区国控发展集团有限公司</t>
  </si>
  <si>
    <t>牵头方：安徽政通建筑工程有限公司
成员方：广东电白二建集团有限公司</t>
  </si>
  <si>
    <t>牵头方：安徽明峰建筑工程有限公司
 成员方：河南省大成建设工程有限公司</t>
  </si>
  <si>
    <t>明光市金鑫建筑安装有限公司</t>
  </si>
  <si>
    <t>26.附件：评标情况一览表.xlsx</t>
  </si>
  <si>
    <t>26.招标文件正文(1).pdf</t>
  </si>
  <si>
    <t>琅琊区天长路人才公寓项目.xlsx</t>
  </si>
  <si>
    <t>南谯区</t>
  </si>
  <si>
    <t>南谯新区实验小学分校校园智能化建设项目（工程）</t>
  </si>
  <si>
    <t>滁州市南谯区教育体育局</t>
  </si>
  <si>
    <t>安徽瑞佳工程项目管理有限公司</t>
  </si>
  <si>
    <t>双翊科技有限公司</t>
  </si>
  <si>
    <t>厦门柏事特信息科技有限公司</t>
  </si>
  <si>
    <t>上海邮电设计咨询研究院有限公司</t>
  </si>
  <si>
    <t>27.附件：评标情况一览表.xlsx</t>
  </si>
  <si>
    <t>27.招标文件正文(1).pdf</t>
  </si>
  <si>
    <t>南谯新区实验小学分校校园智能化建设项目（工程）.xlsx</t>
  </si>
  <si>
    <t>毗邻区新型功能区智能家电产业园二期项目工程总承包（EPC）</t>
  </si>
  <si>
    <t>安徽兴谯产业投资集团有限公司</t>
  </si>
  <si>
    <t>牵头方：中铁十一局集团有限公司
成员方：安徽烨枭建筑工程有限公司</t>
  </si>
  <si>
    <t>牵头方：中国五冶集团有限公司
成员方：华茗设计集团有限公司</t>
  </si>
  <si>
    <t>牵头方：安徽建工集团股份有限公司
成员方：安徽建工建设安装集团有限公司</t>
  </si>
  <si>
    <t>28.附件：评标情况一览表.pdf</t>
  </si>
  <si>
    <t>28.招标文件正文(1).pdf</t>
  </si>
  <si>
    <t>年产3万吨食用菌生产加工（一期）项目施工</t>
  </si>
  <si>
    <t>滁州市菌丰食用菌产业发展有限公司</t>
  </si>
  <si>
    <t>联合体牵头方：中建三局集团有限公司
联合体成员方：安徽晨筑建设工程有限公司</t>
  </si>
  <si>
    <t>江苏南通六建建设集团有限公司</t>
  </si>
  <si>
    <t>中城投集团第八工程局有限公司</t>
  </si>
  <si>
    <t>29.附件：评标情况一览表.pdf</t>
  </si>
  <si>
    <t>29.招标文件正文.pdf</t>
  </si>
  <si>
    <t>年产3万吨食用菌生产加工（一期）项目施工.xlsx</t>
  </si>
  <si>
    <t>滁州市滁阳路加油站工程施工总承包</t>
  </si>
  <si>
    <t>安徽清流新能源开发有限公司</t>
  </si>
  <si>
    <t>安徽省招标集团股份有限公司</t>
  </si>
  <si>
    <t>中浩威建设有限公司</t>
  </si>
  <si>
    <t>牵头方：安徽遇霖建筑工程有限公司
成员方：河南汇亿建筑工程有限公司</t>
  </si>
  <si>
    <t>牵头方：安徽达振建设工程有限公司
成员方：香山红叶集团有限公司</t>
  </si>
  <si>
    <t>30.附件：评标情况一览表.xlsx</t>
  </si>
  <si>
    <t>30.招标文件正文.pdf</t>
  </si>
  <si>
    <t>全椒县</t>
  </si>
  <si>
    <t>武岗镇标准化厂房项目</t>
  </si>
  <si>
    <t>全椒县武岗镇人民政府</t>
  </si>
  <si>
    <t>安徽福联工程项目管理有限公司</t>
  </si>
  <si>
    <t>安徽武邦建筑工程有限公司</t>
  </si>
  <si>
    <t>安徽麒朗工程项目管理有限公司</t>
  </si>
  <si>
    <t>安徽峻壹建设工程有限公司</t>
  </si>
  <si>
    <t>31.评标情况一览表2025.6.6(1)(1).xls</t>
  </si>
  <si>
    <t>31.武岗镇标准化厂房项目招标文件.pdf</t>
  </si>
  <si>
    <t>襄河镇物资储备项目</t>
  </si>
  <si>
    <t>全椒县襄河镇人民政府</t>
  </si>
  <si>
    <t>安徽极辉建设有限公司</t>
  </si>
  <si>
    <t>安徽尚云建设工程有限公司</t>
  </si>
  <si>
    <t>安徽欧驰建筑工程有限公司</t>
  </si>
  <si>
    <t>32.评标情况一览表2025.6.4(1).xls</t>
  </si>
  <si>
    <t>32.招标文件正文(1).pdf</t>
  </si>
  <si>
    <t>全椒县新建粮食标准化储备仓建设项目（白酒粮站）EPC</t>
  </si>
  <si>
    <t>全椒县储备粮油管理有限公司</t>
  </si>
  <si>
    <t>滁州市皖东建筑设计有限公司</t>
  </si>
  <si>
    <t>安徽瑞达建筑工程有限公司（牵头人）、滁州市建筑勘察设计院有限公司联合体</t>
  </si>
  <si>
    <t>33.评标情况一览表-全椒县新建粮食标准化储备仓建设项目（白酒粮站）EPC.xlsx</t>
  </si>
  <si>
    <t>33.招标文件正文(1).pdf</t>
  </si>
  <si>
    <t>全椒县第六中学小学部改扩建项目</t>
  </si>
  <si>
    <t>全椒县教育体育局</t>
  </si>
  <si>
    <t>安徽凡信工程项目管理有限公司</t>
  </si>
  <si>
    <t>安徽鼎立锋建筑工程有限公司</t>
  </si>
  <si>
    <t>安徽腾骉建设有限公司</t>
  </si>
  <si>
    <t>安徽巢轩建筑工程有限公司</t>
  </si>
  <si>
    <t>34.(评标情况一览表)(1)(1).xls</t>
  </si>
  <si>
    <t>34.招标文件正文.pdf</t>
  </si>
  <si>
    <t>大墅镇公共基础设施项目</t>
  </si>
  <si>
    <t>全椒县大墅镇人民政府</t>
  </si>
  <si>
    <t>安徽玖源项目管理有限公司</t>
  </si>
  <si>
    <t>安徽中启建设工程有限公司</t>
  </si>
  <si>
    <t>安徽海江建筑工程有限公司</t>
  </si>
  <si>
    <t>安徽玖建工程管理有限公司</t>
  </si>
  <si>
    <t>35.附件：评标情况一览表.xls</t>
  </si>
  <si>
    <t>35.招标文件正文.pdf</t>
  </si>
  <si>
    <t>西王镇2025年标准化养殖场(笼养)建设项目</t>
  </si>
  <si>
    <t>全椒县西王镇人民政府</t>
  </si>
  <si>
    <t>牵头人：滁州温氏畜牧有限公司
联合体：安徽东之方建筑工程有限公司、 国昇设计有限责任公司</t>
  </si>
  <si>
    <t>牵头人：安徽华航水利工程有限公司
联合体：中合一工程设计有限公司</t>
  </si>
  <si>
    <t>牵头人：安徽墅杰建筑工程有限公司
联合体：中述设计集团有限公司</t>
  </si>
  <si>
    <t>36.评标情况一览表-西王镇2025年标准化养殖场(笼养)建设项目.xlsx</t>
  </si>
  <si>
    <t>36.招标文件正文(1).pdf</t>
  </si>
  <si>
    <t>全椒县科创中心弱电建设项目</t>
  </si>
  <si>
    <t>全椒县美好乡村建设投资有限公司、黄山市成皓建设工程有限公司</t>
  </si>
  <si>
    <t>安徽时宇科技有限公司</t>
  </si>
  <si>
    <t>南京南大四维科技发展有限公司</t>
  </si>
  <si>
    <t>37.评标情况一览表-全椒县科创中心弱电建设项目.xlsx</t>
  </si>
  <si>
    <t>37.招标文件正文(1).pdf</t>
  </si>
  <si>
    <t>全椒县科创中心弱电建设项目.xlsx</t>
  </si>
  <si>
    <t>西王镇2025年标准化养殖场（平养）建设项目</t>
  </si>
  <si>
    <t>安徽简颢工程项目管理有限公司</t>
  </si>
  <si>
    <t>牵头人：滁州温氏畜牧有限公司
成员方：全椒县心宇装饰工程有限公司、国昇设计有限责任公司</t>
  </si>
  <si>
    <t>牵头人：安徽禹杰项目管理有限公司
成员方：安徽栋翔建筑工程有限公司、中述设计集团有限公司</t>
  </si>
  <si>
    <t>牵头人：安徽墅杰建筑工程有限公司
成员方：中犇工程设计有限公司</t>
  </si>
  <si>
    <t>38.评标情况一览表.xls</t>
  </si>
  <si>
    <t>38.招标文件正文(1).pdf</t>
  </si>
  <si>
    <t>全椒县春江水岸（吴家花园）、种子公司宿舍及周边、农技推广中心、检察院宿舍、粮食局宿舍等11个老旧小区配套基础设施建设项目（全椒县种子公司宿舍等4个老旧小区配套基础设施建设项目（吴家花园））施工</t>
  </si>
  <si>
    <t>全椒县住房和城乡建设局</t>
  </si>
  <si>
    <t>安徽里奇建设有限公司（联合体牵头方）
安徽广众建设工程有限公司（联合体成员方）</t>
  </si>
  <si>
    <t>安徽贵宏建工集团有限公司</t>
  </si>
  <si>
    <t>安徽融亭建设工程有限公司</t>
  </si>
  <si>
    <t>39.(评标情况一览表).xls</t>
  </si>
  <si>
    <t>39.招标文件正文(1).pdf</t>
  </si>
  <si>
    <t>武岗镇标准化养殖场建设项目设计、施工总承包+运营（EPC+O）</t>
  </si>
  <si>
    <t>牵头人：滁州温氏畜牧有限公司
联合体：安徽赛燃建筑安装工程有限公司、国昇设计有限责任公司</t>
  </si>
  <si>
    <t>牵头人：安徽独匠建设工程有限公司
联合体：中犇工程设计有限公司</t>
  </si>
  <si>
    <t>牵头人：安徽东圆建设工程有限公司
联合体：中述设计集团有限公司</t>
  </si>
  <si>
    <t>40.评标情况一览表-武岗镇标准化养殖场建设项目设计、施工总承包运营（EPCO）.xlsx</t>
  </si>
  <si>
    <t>40.招标文件正文(1).pdf</t>
  </si>
  <si>
    <t>全椒县春江水岸（吴家花园）、种子公司宿舍及周边、农技推广中心、检察院宿舍、粮食局宿舍等11个老旧小区配套基础设施建设项目（全椒县种子公司宿舍等4个老旧小区配套基础设施建设项目（种子公司宿舍））施工</t>
  </si>
  <si>
    <t>安徽开泰建设有限责任公司</t>
  </si>
  <si>
    <t>安徽三远建设有限公司</t>
  </si>
  <si>
    <t>安徽承禹建设工程有限公司</t>
  </si>
  <si>
    <t>41.(评标情况一览表).xls</t>
  </si>
  <si>
    <t>41.招标文件正文(1).pdf</t>
  </si>
  <si>
    <t>全椒县春江水岸（吴家花园）、种子公司宿舍及周边、农技推广中心、检察院宿舍、粮食局宿舍等11个老旧小区配套基础设施建设项目（全椒县种子公司宿舍等4个老旧小区配套基础设施建设项目（玩具总厂宿舍））施工</t>
  </si>
  <si>
    <t>安徽敬禹建设有限公司</t>
  </si>
  <si>
    <t>安徽星空建设工程有限公司</t>
  </si>
  <si>
    <t>安徽启盈建设工程有限公司</t>
  </si>
  <si>
    <t>42.(评标情况一览表).xls</t>
  </si>
  <si>
    <t>42.招标文件正文(1).pdf</t>
  </si>
  <si>
    <t>马厂镇标准化养殖场建设项目设计、施工总承包+运营（EPC+O)</t>
  </si>
  <si>
    <t>全椒县马厂镇人民政府</t>
  </si>
  <si>
    <t>牵头人：滁州温氏畜牧有限公司
联合体：安徽禾胜建设集团有限公司、国昇设计有限责任公司</t>
  </si>
  <si>
    <t>牵头人：安徽尚云建设工程有限公司
联合体：中述设计集团有限公司</t>
  </si>
  <si>
    <t>牵头人：安徽达鑫建筑工程有限公司
联合体：大洲设计咨询集团有限公司</t>
  </si>
  <si>
    <t>43.评标情况一览表-马厂镇标准化养殖场建设项目设计、施工总承包运营（EPCO).xlsx</t>
  </si>
  <si>
    <t>43.招标文件正文(1).pdf</t>
  </si>
  <si>
    <t>全椒县春江水岸（吴家花园）、种子公司宿舍及周边、农技推广中心、检察院宿舍、粮食局宿舍等11个老旧小区配套基础设施建设项目（全椒县种子公司宿舍等4个老旧小区配套基础设施建设项目（教委宿舍楼））施工</t>
  </si>
  <si>
    <t>安徽达鑫建筑工程有限公司</t>
  </si>
  <si>
    <t>安徽华航水利工程有限公司</t>
  </si>
  <si>
    <t>安徽家骎建设工程有限公司</t>
  </si>
  <si>
    <t>44.(评标情况一览表).xls</t>
  </si>
  <si>
    <t>44.招标文件正文(1).pdf</t>
  </si>
  <si>
    <t>全椒县春江水岸（吴家花园）、种子公司宿舍及周边、农技推广中心、检察院宿舍、粮食局宿舍等11个老旧小区配套基础设施建设项目（全椒县检察院等4个老旧小区配套基础设施建设项目）</t>
  </si>
  <si>
    <t>滁州市皖东建设监理有限公司</t>
  </si>
  <si>
    <t>安徽钰诚建筑工程有限公司</t>
  </si>
  <si>
    <t>安徽良策建工集团有限公司</t>
  </si>
  <si>
    <t>安徽省立伟达建设工程有限公司</t>
  </si>
  <si>
    <t>45.(评标情况一览表).xls</t>
  </si>
  <si>
    <t>45.招标文件正文.pdf</t>
  </si>
  <si>
    <t>滁州市农业科技研发基地项目（农业科研教学试验田及农业设施建设项目一期）EPC</t>
  </si>
  <si>
    <t>全椒全鑫城镇投资发展集团有限公司</t>
  </si>
  <si>
    <t>滁州市皖东建筑设计有限公司（牵头人）、中农国科(南京)规划设计有限公司联合体</t>
  </si>
  <si>
    <t>安徽省众瑞建设工程有限公司（牵头人）、众生设计集团有限公司联合体</t>
  </si>
  <si>
    <t>46.评标情况一览表-滁州市农业科技研发基地项目（农业科研教学试验田及农业设施建设项目一期）EPC.xlsx</t>
  </si>
  <si>
    <t>46.招标文件正文.pdf</t>
  </si>
  <si>
    <t>安徽扬子投资发展有限公司扬子现代产业园改造项目</t>
  </si>
  <si>
    <t>安徽扬子投资发展有限公司</t>
  </si>
  <si>
    <t>牵头方：建筑装修装饰工程专业承包一级
成员方：消防设施工程专业承包一级</t>
  </si>
  <si>
    <t>合肥浦发建设集团有限公司</t>
  </si>
  <si>
    <t>深圳市晶宫建筑装饰集团有限公司</t>
  </si>
  <si>
    <t>47.附件：评标情况一览表.xlsx</t>
  </si>
  <si>
    <t>47.招标文件正文(1).pdf</t>
  </si>
  <si>
    <t>安徽扬子投资发展有限公司扬子现代产业园改造项目.xlsx</t>
  </si>
  <si>
    <t>全椒县快递分拣中心项目</t>
  </si>
  <si>
    <t>全椒全顺物流有限公司</t>
  </si>
  <si>
    <t>子辰顺达建设有限公司（牵头人）、安徽中樾建筑规划设计有限公司联合体</t>
  </si>
  <si>
    <t>48.评标情况一览表-全椒县快递分拣中心项目.xlsx</t>
  </si>
  <si>
    <t>48.招标文件正文(1).pdf</t>
  </si>
  <si>
    <t>全椒县周岗烈士陵园改造提升项目（EPC）</t>
  </si>
  <si>
    <t>全椒县退役军人事务局</t>
  </si>
  <si>
    <t>安徽禾顺项目管理有限公司</t>
  </si>
  <si>
    <t>（牵头单位）安徽万邦建设工程有限公司 
（成员单位）贵阳建筑勘察设计有限公司</t>
  </si>
  <si>
    <t>（牵头单位）安徽亮庭建设工程有限公司 
（成员单位）安徽省建筑科学研究设计院</t>
  </si>
  <si>
    <t>（牵头单位）安徽京田建筑工程有限公司 
（成员单位）首辅工程设计有限公司</t>
  </si>
  <si>
    <t>49.评标情况一览表-全椒县周岗烈士陵园改造提升项目（EPC）.xlsx</t>
  </si>
  <si>
    <t>49.招标文件正文(1).pdf</t>
  </si>
  <si>
    <t>定远县</t>
  </si>
  <si>
    <t>定远县池河镇产业车间项目</t>
  </si>
  <si>
    <t>定远县池河镇人民政府</t>
  </si>
  <si>
    <t>安徽闻天项目管理咨询有限公司</t>
  </si>
  <si>
    <t>安徽沐坤建设工程有限公司</t>
  </si>
  <si>
    <t>50.评标情况一览表.xlsx</t>
  </si>
  <si>
    <t>50.招标文件正文.pdf</t>
  </si>
  <si>
    <t>定远县吴圩镇合滁合作园产业车间9号厂房建设项目</t>
  </si>
  <si>
    <t>定远县吴圩镇人民政府</t>
  </si>
  <si>
    <t>安徽汇冕建设咨询有限公司</t>
  </si>
  <si>
    <t>安徽佑先建筑工程有限公司</t>
  </si>
  <si>
    <t>51.评标情况一览表.xls</t>
  </si>
  <si>
    <t>51.招标文件正文(1).pdf</t>
  </si>
  <si>
    <t>定远县朱湾镇宋岗、马岗、朱湾社区、大户陆等四村联建农产品加工项目(二期)</t>
  </si>
  <si>
    <t>定远县朱湾镇人民政府</t>
  </si>
  <si>
    <t>安徽同瓯项目管理咨询有限公司</t>
  </si>
  <si>
    <t>安徽森领建设有限公司</t>
  </si>
  <si>
    <t>52.评标情况一览表.xls</t>
  </si>
  <si>
    <t>52.招标文件正文.pdf</t>
  </si>
  <si>
    <t>定远县藕塘镇大杨村食品加工冷藏保鲜项目</t>
  </si>
  <si>
    <t>定远县藕塘镇人民政府</t>
  </si>
  <si>
    <t>安徽龙门工程咨询有限公司</t>
  </si>
  <si>
    <t>安徽烨伟建设有限公司</t>
  </si>
  <si>
    <t>53.评标情况一览表(1).xlsx</t>
  </si>
  <si>
    <t>53.招标文件正文.pdf</t>
  </si>
  <si>
    <t>定远县定城片区城市更新一期项目-定远县交通局宿舍老旧小区改造配套基础设施建设项目</t>
  </si>
  <si>
    <t>定远县住房和城乡建设局</t>
  </si>
  <si>
    <t>安徽诚信建设项目管理有限公司</t>
  </si>
  <si>
    <t>安徽刘羊建设工程有限公司</t>
  </si>
  <si>
    <t>54.评标情况一览表.xlsx</t>
  </si>
  <si>
    <t>54.招标文件正文.pdf</t>
  </si>
  <si>
    <t>定远县定城片区城市更新一期项目-定远县公安局宿舍老旧小区改造配套基础设施建设项目</t>
  </si>
  <si>
    <t>安徽省瀚辰生态建设有限公司</t>
  </si>
  <si>
    <t>55.评标情况一览表.xlsx</t>
  </si>
  <si>
    <t>55.招标文件正文.pdf</t>
  </si>
  <si>
    <t>定远县吴圩镇合滁合作园产业车间项目</t>
  </si>
  <si>
    <t>安徽三辰工程项目管理有限公司</t>
  </si>
  <si>
    <t>安徽焦固建筑工程有限公司</t>
  </si>
  <si>
    <t>56.评标情况一览表.xlsx</t>
  </si>
  <si>
    <t>56.招标文件正文(1).pdf</t>
  </si>
  <si>
    <t>定远县永康镇祝杨村、河北村、大唐村联建产业车间项目</t>
  </si>
  <si>
    <t>定远县永康镇人民政府</t>
  </si>
  <si>
    <t>合普项目管理咨询集团有限公司</t>
  </si>
  <si>
    <t>57.评标情况一览表.xlsx</t>
  </si>
  <si>
    <t>57.招标文件正文(1).pdf</t>
  </si>
  <si>
    <t>定远县保尔工贸综合楼改造提升项目</t>
  </si>
  <si>
    <t>定远县诚信融资担保有限公司</t>
  </si>
  <si>
    <t>定远县程锦规划勘察建筑设计院有限公司</t>
  </si>
  <si>
    <t>安徽弘亿鑫建设有限公司</t>
  </si>
  <si>
    <t>58.评标情况一览表.xlsx</t>
  </si>
  <si>
    <t>58.招标文件正文(1).pdf</t>
  </si>
  <si>
    <t>二龙回族乡农产品加工项目</t>
  </si>
  <si>
    <t>定远县二龙回族乡人民政府</t>
  </si>
  <si>
    <t>安徽科信工程项目管理咨询有限公司</t>
  </si>
  <si>
    <t>安徽省昊熙建设工程有限公司</t>
  </si>
  <si>
    <t>59.评标情况一览表(1).xls</t>
  </si>
  <si>
    <t>59.招标文件正文(1).pdf</t>
  </si>
  <si>
    <t>炉桥镇河头村、姚庄村、青洛社区产业车间项目</t>
  </si>
  <si>
    <t>定远县炉桥镇人民政府</t>
  </si>
  <si>
    <t>明光市拓道装饰工程有限公司</t>
  </si>
  <si>
    <t>60.评标情况一览表.xlsx</t>
  </si>
  <si>
    <t>60.招标文件正文(1).pdf</t>
  </si>
  <si>
    <t>定远县仓镇农民工创业园村级联建农产品加工项目</t>
  </si>
  <si>
    <t>定远县仓镇人民政府</t>
  </si>
  <si>
    <t>安徽速昇工程项目管理有限公司</t>
  </si>
  <si>
    <t>安徽省家得建筑工程有限公司</t>
  </si>
  <si>
    <t>61.评标情况一览表.xlsx</t>
  </si>
  <si>
    <t>61.招标文件正文(1).pdf</t>
  </si>
  <si>
    <t>连江镇2025年第一批衔接资金项目</t>
  </si>
  <si>
    <t>定远县连江镇人民政府</t>
  </si>
  <si>
    <t>安徽同舟工程咨询有限公司</t>
  </si>
  <si>
    <t>安徽天帆建筑工程有限公司</t>
  </si>
  <si>
    <t>62.评标情况一览表.xlsx</t>
  </si>
  <si>
    <t>62.招标文件正文(1).pdf</t>
  </si>
  <si>
    <t>连江镇三甲村水库移民农副产品加工标准化厂房一期项目</t>
  </si>
  <si>
    <t>安徽浩百川建设工程管理有限公司</t>
  </si>
  <si>
    <t>63.评标情况一览表.xlsx</t>
  </si>
  <si>
    <t>63..招标文件正文.pdf</t>
  </si>
  <si>
    <t>定远县池河镇农产品加工项目</t>
  </si>
  <si>
    <t>安徽锆石项目管理咨询有限公司</t>
  </si>
  <si>
    <t>安徽丹恒建设有限公司</t>
  </si>
  <si>
    <t>64.评标情况一览表.xlsx</t>
  </si>
  <si>
    <t>64.招标文件正文(1).pdf</t>
  </si>
  <si>
    <t>大桥镇七村联建农产品加工标准化厂房扩建项目</t>
  </si>
  <si>
    <t>定远县大桥镇人民政府</t>
  </si>
  <si>
    <t>天长市振业建设工程有限公司</t>
  </si>
  <si>
    <t>65.评标情况一览表.xlsx</t>
  </si>
  <si>
    <t>65.招标文件正文(1).pdf</t>
  </si>
  <si>
    <t>定远县朱湾镇宋岗、马岗、朱湾社区、大户陆等四村联建农产品加工项目(一期)</t>
  </si>
  <si>
    <t>66.评标情况一览表.xls</t>
  </si>
  <si>
    <t>66.招标文件正文(1).pdf</t>
  </si>
  <si>
    <t>定远县2020年基层卫生服务体系建设项目池河镇中心卫生院工程智能化项目</t>
  </si>
  <si>
    <t>定远县卫生健康委员会</t>
  </si>
  <si>
    <t>安徽水木建工集团有限公司</t>
  </si>
  <si>
    <t>67.评标情况一览表.xls</t>
  </si>
  <si>
    <t>67.招标文件正文(1).pdf</t>
  </si>
  <si>
    <t>定远县2020年基层卫生服务体系建设项目池河镇中心卫生院工程智能化项目.xlsx</t>
  </si>
  <si>
    <t>定远县定城片区城市更新一期建设项目-定城镇2024年“无物管”小区改造、后街背巷改造、公共为民服务中心改造提升项目</t>
  </si>
  <si>
    <t>定远县定城镇人民政府</t>
  </si>
  <si>
    <t>安徽勇永建设工程有限公司</t>
  </si>
  <si>
    <t>68.评标情况一览表.xls</t>
  </si>
  <si>
    <t>68.招标文件正文(1).pdf</t>
  </si>
  <si>
    <t>定远县定城片区城市更新一期项目-定远县2024年交警队宿舍老旧小区改造项目（三标段交警队宿舍）</t>
  </si>
  <si>
    <t>安徽中立工程咨询有限公司</t>
  </si>
  <si>
    <t>明光市众建市政工程有限公司</t>
  </si>
  <si>
    <t>69.评标情况一览表.xlsx</t>
  </si>
  <si>
    <t>69.招标文件正文(1).pdf</t>
  </si>
  <si>
    <t>定远县定城片区城市更新一期项目-定远县2024年增补老旧小区改造配套基础设施建设项目（十标段南门医院宿舍）</t>
  </si>
  <si>
    <t>安徽锦昊项目管理有限责任公司</t>
  </si>
  <si>
    <t>安徽悦和工程劳务有限公司</t>
  </si>
  <si>
    <t>70.评标情况一览表.xlsx</t>
  </si>
  <si>
    <t>70.招标文件正文(1).pdf</t>
  </si>
  <si>
    <t>定远县定城片区城市更新一期项目-定远县2024年增补老旧小区改造配套基础设施建设项目（一标段地税局宿舍）</t>
  </si>
  <si>
    <t>安徽鼎卓工程管理咨询有限公司</t>
  </si>
  <si>
    <t>71.评标情况一览表.xls</t>
  </si>
  <si>
    <t>71.招标文件正文(1).pdf</t>
  </si>
  <si>
    <t>定远县定城片区城市更新一期项目—定远县计生指导站宿舍老旧小区改造配套基础设施建设项目（十一标段计生指导站）</t>
  </si>
  <si>
    <t>安徽敏恒工程管理有限公司</t>
  </si>
  <si>
    <t>安徽鲲邦建筑有限公司</t>
  </si>
  <si>
    <t>72.评标情况一览表.xlsx</t>
  </si>
  <si>
    <t>72.招标文件正文(1).pdf</t>
  </si>
  <si>
    <t>定远县定城片区城市更新一期项目-定远县2024年增补老旧小区改造配套基础设施建设项目（五标段回收公司宿舍）</t>
  </si>
  <si>
    <t>安徽百士德工程咨询有限公司</t>
  </si>
  <si>
    <t>73.评标情况一览表.xlsx</t>
  </si>
  <si>
    <t>73.招标文件正文(1).pdf</t>
  </si>
  <si>
    <t>定远县定城片区城市更新一期项目-定远县2024年增补老旧小区改造配套基础设施建设（四标段车站宿舍一期）</t>
  </si>
  <si>
    <t>安徽威岩环保工程建设有限公司</t>
  </si>
  <si>
    <t>74.评标情况一览表.xls</t>
  </si>
  <si>
    <t>74.招标文件正文(1).pdf</t>
  </si>
  <si>
    <t>凤阳县</t>
  </si>
  <si>
    <t>凤阳海螺光伏产业一体化项目一期(配套附属设施)施工总承包</t>
  </si>
  <si>
    <t>凤阳海螺光伏科技有限公司</t>
  </si>
  <si>
    <t>湖南省沙坪建设有限公司</t>
  </si>
  <si>
    <t>安徽宝业建工集团有限公司</t>
  </si>
  <si>
    <t>河北建设集团股份有限公司</t>
  </si>
  <si>
    <t>75.评标情况一览表.xlsx</t>
  </si>
  <si>
    <t>75.招标文件正文(1).pdf</t>
  </si>
  <si>
    <t>凤阳海螺光伏产业一体化项目一期(配套附属设施)施工总承包.xlsx</t>
  </si>
  <si>
    <t>凤阳经开区产业园建设项目--安装及公辅工程（七标段）二次</t>
  </si>
  <si>
    <t>凤阳县交通投资有限公司</t>
  </si>
  <si>
    <t>安徽省明中都工程咨询有限公司</t>
  </si>
  <si>
    <t>滁州市鑫玮建设有限公司</t>
  </si>
  <si>
    <t>76.评标情况一览表-公辅七标段二次.xlsx</t>
  </si>
  <si>
    <t>76.招标文件正文(1).pdf</t>
  </si>
  <si>
    <t>2025年改善普通高中学校办学条件项目（一标段）</t>
  </si>
  <si>
    <t>凤阳县教育体育局</t>
  </si>
  <si>
    <t>安徽裕茂建设项目管理有限公司</t>
  </si>
  <si>
    <t>安徽思宇水利建设工程有限公司</t>
  </si>
  <si>
    <t>77.一标段评标情况一览表.xlsx</t>
  </si>
  <si>
    <t>77.招标文件正文(1).pdf</t>
  </si>
  <si>
    <t>2025年改善普通高中学校办学条件项目（二标段）</t>
  </si>
  <si>
    <t>安徽长隆建筑工程有限公司</t>
  </si>
  <si>
    <t>78.二标段评标情况一览表.xlsx</t>
  </si>
  <si>
    <t>78.招标文件正文(1).pdf</t>
  </si>
  <si>
    <t>2025年凤阳县城镇老旧小区改造项目（府城镇）一标段</t>
  </si>
  <si>
    <t>凤阳县金中都生态园林建设有限公司、凤阳县府城镇人民政府</t>
  </si>
  <si>
    <t>安徽一道建设工程项目管理有限公司</t>
  </si>
  <si>
    <t>安徽妙树园林绿化景观工程有限公司</t>
  </si>
  <si>
    <t xml:space="preserve">安徽妙树园林绿化景观工程有限公司 </t>
  </si>
  <si>
    <t>79.评标情况一览表.xlsx</t>
  </si>
  <si>
    <t>79.招标文件正文(1).pdf</t>
  </si>
  <si>
    <t>凤阳县临淮关镇美好城镇一期项目</t>
  </si>
  <si>
    <t>凤阳县金中都生态园林建设有限公司</t>
  </si>
  <si>
    <t>安徽明都工程科技有限公司</t>
  </si>
  <si>
    <t>80.评标情况一览表.xlsx</t>
  </si>
  <si>
    <t>80.招标文件正文.pdf</t>
  </si>
  <si>
    <t>2025年凤阳县城镇老旧小区改造项目（中都街道）二标段</t>
  </si>
  <si>
    <t>凤阳县金中都生态园林建设有限公司、凤阳县人民政府中都街道办事处</t>
  </si>
  <si>
    <t>安徽盛煜项目管理有限公司</t>
  </si>
  <si>
    <t>天长市富春建筑工程有限公司</t>
  </si>
  <si>
    <t>81标评标情况一览表.xlsx</t>
  </si>
  <si>
    <t>81.招标文件正文(1).pdf</t>
  </si>
  <si>
    <t>2025年凤阳县城镇老旧小区改造项目（中都街道）三标段</t>
  </si>
  <si>
    <t>安徽天悦建筑安装工程有限公司</t>
  </si>
  <si>
    <t>82.标评标情况一览表.xlsx</t>
  </si>
  <si>
    <t>82.招标文件正文(1).pdf</t>
  </si>
  <si>
    <t>2025年凤阳县城镇老旧小区改造项目（中都街道）一标段</t>
  </si>
  <si>
    <t>安徽冠纵建筑有限公司</t>
  </si>
  <si>
    <t>83.标评标情况一览表.xlsx</t>
  </si>
  <si>
    <t>83招标文件正文.pdf</t>
  </si>
  <si>
    <t>2025年凤阳县城镇老旧小区改造项目（中都街道）四标段</t>
  </si>
  <si>
    <t>安徽开印建筑工程有限公司</t>
  </si>
  <si>
    <t>84.标评标情况一览表.xlsx</t>
  </si>
  <si>
    <t>84.招标文件正文(1).pdf</t>
  </si>
  <si>
    <t>凤阳县刘府镇武巷村商品蛋鸡养殖场区基础设施项目</t>
  </si>
  <si>
    <t>凤阳县刘府镇人民政府</t>
  </si>
  <si>
    <t>安徽凯岩项目管理有限公司</t>
  </si>
  <si>
    <t>安徽省万物生建设工程有限公司</t>
  </si>
  <si>
    <t>85.评标情况一览表.xlsx</t>
  </si>
  <si>
    <t>85.招标文件正文.pdf</t>
  </si>
  <si>
    <t>2025年义务教育薄弱环节改善与能力提升项目（一标段）</t>
  </si>
  <si>
    <t>安徽华顺工程建设咨询有限公司</t>
  </si>
  <si>
    <t>安徽省百倍建设工程有限公司</t>
  </si>
  <si>
    <t xml:space="preserve"> 安徽省百倍建设工程有限公司</t>
  </si>
  <si>
    <t>86.1标评标情况一览表.xlsx</t>
  </si>
  <si>
    <t>86.招标文件正文(1).pdf</t>
  </si>
  <si>
    <t>2025年义务教育薄弱环节改善与能力提升项目（三标段）</t>
  </si>
  <si>
    <t>安徽捷登鑫建筑工程有限公司</t>
  </si>
  <si>
    <t xml:space="preserve"> 安徽捷登鑫建筑工程有限公司</t>
  </si>
  <si>
    <t>87.3标评标情况一览表.xlsx</t>
  </si>
  <si>
    <t>87.招标文件正文(1).pdf</t>
  </si>
  <si>
    <t>2025年义务教育薄弱环节改善与能力提升项目（五标段）</t>
  </si>
  <si>
    <t>安徽昶之丰建筑工程有限公司</t>
  </si>
  <si>
    <t>88.5标评标情况一览表.xlsx</t>
  </si>
  <si>
    <t>88.招标文件正文(1).pdf</t>
  </si>
  <si>
    <t>2025年义务教育薄弱环节改善与能力提升项目（四标段）</t>
  </si>
  <si>
    <t>安徽恒琦建设有限公司</t>
  </si>
  <si>
    <t xml:space="preserve"> 安徽恒琦建设有限公司</t>
  </si>
  <si>
    <t>89.4标评标情况一览表.xlsx</t>
  </si>
  <si>
    <t>89.招标文件正文(1).pdf</t>
  </si>
  <si>
    <t>2025年义务教育薄弱环节改善与能力提升项目（二标段）</t>
  </si>
  <si>
    <t>安徽八公建设有限公司</t>
  </si>
  <si>
    <t xml:space="preserve"> 安徽八公建设有限公司</t>
  </si>
  <si>
    <t>90.2标评标情况一览表.xlsx</t>
  </si>
  <si>
    <t>90.招标文件正文(1).pdf</t>
  </si>
  <si>
    <t>凤阳县职业教育能力提升科技学校新校区建设项目（一期）</t>
  </si>
  <si>
    <t>永富建工集团有限公司（联合体成员：安徽耀扬建设工程有限公司）</t>
  </si>
  <si>
    <t>厦门特房建设工程集团有限公司（联合体成员：安徽万顺源建设项目管理有限公司）</t>
  </si>
  <si>
    <t>北京城建北方集团有限公司（联合体成员：中安瑞龙建设集团有限公司）</t>
  </si>
  <si>
    <t>91.评标情况一览表-科技学校一期.xlsx</t>
  </si>
  <si>
    <t>91.招标文件正文(1).pdf</t>
  </si>
  <si>
    <t>凤阳县职业教育能力提升科技学校新校区建设项目（一期）.xlsx</t>
  </si>
  <si>
    <t>2025年义务教育学校校舍维修项目（四标段）</t>
  </si>
  <si>
    <t>滁州市中盛工程项目管理有限公司</t>
  </si>
  <si>
    <t>安徽德度建设工程有限公司</t>
  </si>
  <si>
    <t>92.4标评标情况一览表.xlsx</t>
  </si>
  <si>
    <t>92-98招标文件正文.pdf</t>
  </si>
  <si>
    <t>2025年义务教育学校校舍维修项目（五标段）</t>
  </si>
  <si>
    <t>安徽三冉建筑有限公司</t>
  </si>
  <si>
    <t xml:space="preserve"> 安徽三冉建筑有限公司</t>
  </si>
  <si>
    <t>93.5标评标情况一览表.xlsx</t>
  </si>
  <si>
    <t>2025年义务教育学校校舍维修项目（六标段）</t>
  </si>
  <si>
    <t>安徽百利源建筑工程有限公司</t>
  </si>
  <si>
    <t>94.6标评标情况一览表.xlsx</t>
  </si>
  <si>
    <t>2025年义务教育学校校舍维修项目（七标段）</t>
  </si>
  <si>
    <t xml:space="preserve"> 安徽东壹建设工程有限公司</t>
  </si>
  <si>
    <t>95.7标评标情况一览表.xlsx</t>
  </si>
  <si>
    <t>2025年义务教育学校校舍维修项目（三标段）</t>
  </si>
  <si>
    <t>96.3标评标情况一览表.xlsx</t>
  </si>
  <si>
    <t>2025年义务教育学校校舍维修项目（二标段）</t>
  </si>
  <si>
    <t>安徽鑫动建设工程有限责任公司</t>
  </si>
  <si>
    <t>97.2标评标情况一览表.xlsx</t>
  </si>
  <si>
    <t>2025年义务教育学校校舍维修项目（一标段）</t>
  </si>
  <si>
    <t>安徽优学建筑工程有限公司</t>
  </si>
  <si>
    <t xml:space="preserve"> 安徽优学建筑工程有限公司</t>
  </si>
  <si>
    <t>98.1标评标情况一览表.xlsx</t>
  </si>
  <si>
    <t>2025年凤阳县城镇老旧小区整治改造项目二标段</t>
  </si>
  <si>
    <t>99.评标情况一览表-老旧小区二标段.xlsx</t>
  </si>
  <si>
    <t>99-100招标文件正文.pdf</t>
  </si>
  <si>
    <t>2025年凤阳县城镇老旧小区整治改造项目一标段</t>
  </si>
  <si>
    <t>滁州恒新建设工程有限公司</t>
  </si>
  <si>
    <t>100.评标情况一览表-老旧小区一标段.xlsx</t>
  </si>
  <si>
    <t>2025年凤阳县生态停车位及附属工程</t>
  </si>
  <si>
    <t>凤阳县矿投城市开发有限公司</t>
  </si>
  <si>
    <t>安徽锐新工程项目管理有限公司</t>
  </si>
  <si>
    <t>安徽昭旭建设有限公司</t>
  </si>
  <si>
    <t>101评标情况一览表.xlsx</t>
  </si>
  <si>
    <t>101招标文件正文.pdf</t>
  </si>
  <si>
    <t>2025年凤阳县板桥镇城镇老旧小区改造项目一标段</t>
  </si>
  <si>
    <t>凤阳县金中都生态园林建设有限公司、凤阳县板桥镇人民政府</t>
  </si>
  <si>
    <t>安徽禹风工程咨询有限公司</t>
  </si>
  <si>
    <t>安徽彦阳建设工程有限公司</t>
  </si>
  <si>
    <t>102评标情况一览表.xlsx</t>
  </si>
  <si>
    <t>102招标文件正文.pdf</t>
  </si>
  <si>
    <t>凤阳县客运西站公共充电站10kV配电工程</t>
  </si>
  <si>
    <t>凤阳县交投特来电新能源有限公司</t>
  </si>
  <si>
    <t>安徽仁源建设工程有限公司</t>
  </si>
  <si>
    <t>103.评标情况一览表-客运西站.xlsx</t>
  </si>
  <si>
    <t>103.招标文件正文(1).pdf</t>
  </si>
  <si>
    <t>凤阳经开区产业园建设项目--安装及公辅工程（七标段）</t>
  </si>
  <si>
    <t>安徽东亭建设工程有限公司</t>
  </si>
  <si>
    <t>104.评标情况一览表-公辅七标段.xlsx</t>
  </si>
  <si>
    <t>104.招标文件正文(1).pdf</t>
  </si>
  <si>
    <t>凤阳县粮食仓储设施建设项目（项目二期）-二铺粮站</t>
  </si>
  <si>
    <t>凤阳县振兴粮食集团有限公司</t>
  </si>
  <si>
    <t>安徽恒盛捷工程咨询有限公司</t>
  </si>
  <si>
    <t>明光市润丰建设有限公司</t>
  </si>
  <si>
    <t>105.评标情况一览表(1).xlsx</t>
  </si>
  <si>
    <t>105.招标文件正文(1).pdf</t>
  </si>
  <si>
    <t>凤宁工业广场消防改造工程</t>
  </si>
  <si>
    <t>凤阳凤宁投资有限公司</t>
  </si>
  <si>
    <t>广西龙辰建筑工程有限公司</t>
  </si>
  <si>
    <t>106.评标情况一览表-凤宁工业广场消防改造工程.xlsx</t>
  </si>
  <si>
    <t>106.招标文件正文.pdf</t>
  </si>
  <si>
    <t>凤阳县小岗村农产品加工产业园三期建设北区项目</t>
  </si>
  <si>
    <t>凤阳县明承产业投资有限公司</t>
  </si>
  <si>
    <t>安徽建工三建集团有限公司（联合体成员：安徽建工建设安装集团有限公司）</t>
  </si>
  <si>
    <t>中铁五局集团有限公司（联合体成员：安徽恒星建设工程有限公司）</t>
  </si>
  <si>
    <t>中铁四局集团有限公司（联合体成员：滁州茂业建筑工程有限公司）</t>
  </si>
  <si>
    <t>107.评标情况一览表-小岗三期.xlsx</t>
  </si>
  <si>
    <t>107.招标文件正文(1).pdf</t>
  </si>
  <si>
    <t>凤阳县小岗村农产品加工产业园三期建设北区项目.xlsx</t>
  </si>
  <si>
    <t>明朝洪武盛世文化布展项目（洪武门）设计施工一体化项目</t>
  </si>
  <si>
    <t>凤阳大明旅游发展（集团）有限公司</t>
  </si>
  <si>
    <t>牵头方：天地间博展科技有限公司
成员方1：上海联创设计集团股份有限公司
成员方2： 安徽建工建设安装集团有限公司</t>
  </si>
  <si>
    <t> 17.11%</t>
  </si>
  <si>
    <t>108.评标情况一览表.xlsx</t>
  </si>
  <si>
    <t>108.招标文件正文(1).pdf</t>
  </si>
  <si>
    <t>凤阳县官塘镇大刘村农产品存储库房三期项目</t>
  </si>
  <si>
    <t>凤阳县官塘镇人民政府</t>
  </si>
  <si>
    <t>安徽中泽项目管理有限公司</t>
  </si>
  <si>
    <t>安徽永隆建设有限公司</t>
  </si>
  <si>
    <t>109.评标情况一览表（定）.xlsx</t>
  </si>
  <si>
    <t>109.招标文件正文(1).pdf</t>
  </si>
  <si>
    <t>凤阳县农村综合性改革试点—“小岗徽味”美食市集项目二期工程</t>
  </si>
  <si>
    <t>凤阳县文化和旅游局（凤阳县广播电视局、凤阳县文物局）</t>
  </si>
  <si>
    <t>亿盛建设工程有限公司</t>
  </si>
  <si>
    <t>中桐生态园林建设有限公司</t>
  </si>
  <si>
    <t>110.评标情况一览表-凤阳县农村综合性改革试点—“小岗徽味”美食市集项目二期工程.xlsx</t>
  </si>
  <si>
    <t>110.招标文件正文(1).pdf</t>
  </si>
  <si>
    <t>刘府村标准化厂房产业项目</t>
  </si>
  <si>
    <t>安徽中宸项目管理咨询有限公司</t>
  </si>
  <si>
    <t>安徽国骏建设工程有限公司</t>
  </si>
  <si>
    <t>111.评标情况一览表.xlsx</t>
  </si>
  <si>
    <t>111.招标文件正文(1).pdf</t>
  </si>
  <si>
    <t>凤阳县科创产业孵化基地项目</t>
  </si>
  <si>
    <t>凤阳县小岗产业发展投资有限公司</t>
  </si>
  <si>
    <t>安徽同济建设集团有限责任公司（联合体成员：天长市泰众建筑工程有限公司）</t>
  </si>
  <si>
    <t>112.评标情况一览表-1.26.xlsx</t>
  </si>
  <si>
    <t>112.招标文件正文(1).pdf</t>
  </si>
  <si>
    <t>凤阳经开区产业园建设项目-门卫及景观工程</t>
  </si>
  <si>
    <t>安徽沐峻建筑工程有限公司</t>
  </si>
  <si>
    <t>113.评标情况一览表-1.26.xlsx</t>
  </si>
  <si>
    <t>113.招标文件正文(1).pdf</t>
  </si>
  <si>
    <t>天长市</t>
  </si>
  <si>
    <t>天长中学、炳辉中学等7所学校维修改造项目—天长市铜城小学运动场维修、实验中学教辅楼维修改造等工程</t>
  </si>
  <si>
    <t>天长市教育体育局</t>
  </si>
  <si>
    <t>安徽新宏工程造价有限公司</t>
  </si>
  <si>
    <t>安徽里奇建设有限公司</t>
  </si>
  <si>
    <t>安徽固诺建设有限公司</t>
  </si>
  <si>
    <t>安徽登典建设工程有限公司</t>
  </si>
  <si>
    <t>115.附件：评标情况一览表.xlsx</t>
  </si>
  <si>
    <t>115.招标文件正文(1).pdf</t>
  </si>
  <si>
    <t>天长市关塘中学教学楼、学生公寓、食堂新建等项目（一期）</t>
  </si>
  <si>
    <t>安徽建苑工程项目管理有限公司</t>
  </si>
  <si>
    <t>安徽嘉敏建设工程有限公司</t>
  </si>
  <si>
    <t>安徽德邦建设有限公司</t>
  </si>
  <si>
    <t>116.评标情况一览表.xlsx</t>
  </si>
  <si>
    <t>116.招标文件正文(1).pdf</t>
  </si>
  <si>
    <t>天长中学、炳辉中学等7所学校维修改造项目—天长市十八集小学和第三中学运动场维修等工程</t>
  </si>
  <si>
    <t>安徽乾晨建筑工程有限公司</t>
  </si>
  <si>
    <t>安徽展峰生态建设有限公司</t>
  </si>
  <si>
    <t>117.评标情况一览表.xlsx</t>
  </si>
  <si>
    <t>117.招标文件正文(1).pdf</t>
  </si>
  <si>
    <t>天长市2024年和美乡村建设项目-冶山镇福胜村玩具世界装饰装修工程</t>
  </si>
  <si>
    <t>天长市和美乡村建设发展有限公司、天长市冶山镇人民政府</t>
  </si>
  <si>
    <t>天长市鼎顺工程管理有限公司</t>
  </si>
  <si>
    <t>安徽展贤建筑工程有限公司</t>
  </si>
  <si>
    <t>安徽洲欢建筑工程有限公司</t>
  </si>
  <si>
    <t>安徽省巅川建筑工程有限责任公司</t>
  </si>
  <si>
    <t>118.评标情况一览表.xlsx</t>
  </si>
  <si>
    <t>118.招标文件正文(1).pdf</t>
  </si>
  <si>
    <t>铜城镇2025年扶持村集体经济项目--高尚村标准化厂房新建工程</t>
  </si>
  <si>
    <t>安徽省滁州市天长市铜城镇高尚村村民委员会</t>
  </si>
  <si>
    <t>安徽永信工程咨询有限公司</t>
  </si>
  <si>
    <t>天长市广兴建筑工程有限公司</t>
  </si>
  <si>
    <t>安徽和宸建设工程有限公司</t>
  </si>
  <si>
    <t>安徽利有建设有限公司</t>
  </si>
  <si>
    <t>119.评标情况一览表.xlsx</t>
  </si>
  <si>
    <t>119.招标文件正文(1).pdf</t>
  </si>
  <si>
    <t>铜城镇2025年扶持村集体经济项目-五灯村标准化厂房新建工程</t>
  </si>
  <si>
    <t>安徽省滁州市天长市铜城镇五灯村村民委员会</t>
  </si>
  <si>
    <t>安徽朗卓建筑工程有限公司</t>
  </si>
  <si>
    <t>安徽嘉诚建设工程有限公司</t>
  </si>
  <si>
    <t>120.评标情况一览表.xlsx</t>
  </si>
  <si>
    <t>120.招标文件正文(1).pdf</t>
  </si>
  <si>
    <t>天长市石梁镇消防救援所新建工程</t>
  </si>
  <si>
    <t>天长市石梁镇人民政府</t>
  </si>
  <si>
    <t>安徽国太项目管理有限公司</t>
  </si>
  <si>
    <t>振林建设集团股份有限公司</t>
  </si>
  <si>
    <t>天长市康财建筑装饰装潢工程有限公司</t>
  </si>
  <si>
    <t>安徽旻扬建设工程有限公司</t>
  </si>
  <si>
    <t>121.评标情况一览表.xlsx</t>
  </si>
  <si>
    <t>121.招标文件正文(1).pdf</t>
  </si>
  <si>
    <t>铜城镇建华村移创产业园</t>
  </si>
  <si>
    <t>天长市铜城镇人民政府</t>
  </si>
  <si>
    <t>安徽大信建设工程咨询有限公司</t>
  </si>
  <si>
    <t>安徽德济建筑工程有限公司</t>
  </si>
  <si>
    <t>安徽禹升建设工程有限公司</t>
  </si>
  <si>
    <t>安徽佳启建筑有限公司</t>
  </si>
  <si>
    <t>122.评标情况一览表.xlsx</t>
  </si>
  <si>
    <t>122.招标文件正文(1).pdf</t>
  </si>
  <si>
    <t>郑集镇移创产业园(2期)</t>
  </si>
  <si>
    <t>天长市郑集镇人民政府</t>
  </si>
  <si>
    <t>滁州市三维环境艺术工程有限公司</t>
  </si>
  <si>
    <t>安徽尚成建设工程有限公司</t>
  </si>
  <si>
    <t>安徽弘毅建设项目管理有限公司</t>
  </si>
  <si>
    <t>123.评标情况一览表.xlsx</t>
  </si>
  <si>
    <t>123.招标文件正文(1).pdf</t>
  </si>
  <si>
    <t>天长市2024年和美乡村建设项目--金集镇井亭村美好生活中心装修工程</t>
  </si>
  <si>
    <t>天长市和美乡村建设发展有限公司、天长市金集镇人民政府</t>
  </si>
  <si>
    <t>安徽烨枭建筑工程有限公司</t>
  </si>
  <si>
    <t>肥西七建建筑安装工程有限公司</t>
  </si>
  <si>
    <t>淮北郜联建筑工程有限公司</t>
  </si>
  <si>
    <t>124.评标情况一览表.xlsx</t>
  </si>
  <si>
    <t>124.招标文件正文(1).pdf</t>
  </si>
  <si>
    <t>天长市2024年度乡村振兴人居环境整治提升项目仁和集镇王桥村和美乡村省级中心村建设项目</t>
  </si>
  <si>
    <t>天长市仁和集镇人民政府</t>
  </si>
  <si>
    <t>天长市维诚造价咨询有限公司</t>
  </si>
  <si>
    <t>安徽青舟建设有限公司</t>
  </si>
  <si>
    <t>125.评标情况一览表(1).xls</t>
  </si>
  <si>
    <t>125.招标文件正文(1).pdf</t>
  </si>
  <si>
    <t>天长市永丰镇泵阀及模具产业集群示范园区三元片区标准化厂房建设工程</t>
  </si>
  <si>
    <t>天长市永丰镇人民政府</t>
  </si>
  <si>
    <t>国华工程科技（集团）有限责任公司</t>
  </si>
  <si>
    <t>安徽大德科技有限公司</t>
  </si>
  <si>
    <t>明光市一诚建设工程有限公司</t>
  </si>
  <si>
    <t>126.评标情况一览表.xlsx</t>
  </si>
  <si>
    <t>126.招标文件正文(1).pdf</t>
  </si>
  <si>
    <t>天长市2024年和美乡村建设项目—汊涧镇长山村美好生活中心室内装修布展工程</t>
  </si>
  <si>
    <t>天长市和美乡村建设发展有限公司、天长市汊涧镇人民政府</t>
  </si>
  <si>
    <t>安徽申兴建设有限公司</t>
  </si>
  <si>
    <t>安徽谦源项目管理有限公司</t>
  </si>
  <si>
    <t>安徽奇开建设工程有限公司</t>
  </si>
  <si>
    <t>127.评标情况一览表.xlsx</t>
  </si>
  <si>
    <t>127.招标文件正文(1).pdf</t>
  </si>
  <si>
    <t>天长市大通农产品冷链物流园EPCO总承包项目</t>
  </si>
  <si>
    <t>天长市大通镇人民政府</t>
  </si>
  <si>
    <t>天长市天茗工程项目管理有限公司</t>
  </si>
  <si>
    <t>联合体牵头方：安徽秋旻建设工程有限公司
联合体协办方：中正国际项目管理集团有限公司</t>
  </si>
  <si>
    <t>联合体牵头方：安徽勤国建设工程有限公司
联合体协办方：大成国际工程有限公司</t>
  </si>
  <si>
    <t>联合体牵头方：中铁建工集团第五建设有限公司
联合体协办方1：天长市四鼎建设工程有限公司
联合体协办方2：北京大有天地建筑设计有限公司
联合体协办方3：中农国鑫科技(南京)有限公司</t>
  </si>
  <si>
    <t>128.评标情况一览表.xlsx</t>
  </si>
  <si>
    <t>128.招标文件正文(1).pdf</t>
  </si>
  <si>
    <t>天长市大通农产品冷链物流园EPCO总承包项目.xlsx</t>
  </si>
  <si>
    <t>天长市郑集镇高铁征迁安置房及附属设施建设项目（小区电力配网工程）</t>
  </si>
  <si>
    <t>安徽人和项目管理有限公司</t>
  </si>
  <si>
    <t>安徽国锦电力工程有限公司</t>
  </si>
  <si>
    <t>安丰电力建设集团有限公司</t>
  </si>
  <si>
    <t>杰出建设集团有限公司</t>
  </si>
  <si>
    <t>129.评标情况一览表.xlsx</t>
  </si>
  <si>
    <t>129.招标文件正文(1).pdf</t>
  </si>
  <si>
    <t>天长市档案馆、图书馆大楼维修改造项目</t>
  </si>
  <si>
    <t>中共天长市委党史和地方志研究室（天长市档案馆）</t>
  </si>
  <si>
    <t>安徽佳合建设有限公司</t>
  </si>
  <si>
    <t>安徽峻熙建设有限公司</t>
  </si>
  <si>
    <t>安徽祥时建筑工程有限公司</t>
  </si>
  <si>
    <t>130.评标情况一览表.xlsx</t>
  </si>
  <si>
    <t>130.招标文件正文.pdf</t>
  </si>
  <si>
    <t>明光市</t>
  </si>
  <si>
    <t>苏巷镇戴巷村农产品体验馆和游客接待中心项目（二次）</t>
  </si>
  <si>
    <t>明光市创高农业经济发展有限公司、明光市苏巷镇人民政府</t>
  </si>
  <si>
    <t>安徽腾麟工程项目管理有限公司</t>
  </si>
  <si>
    <t>安徽龙汇建设工程有限公司</t>
  </si>
  <si>
    <t>安徽荣一建设工程有限公司</t>
  </si>
  <si>
    <t>安徽笃信建设工程有限公司</t>
  </si>
  <si>
    <t>131评标情况一览表.xlsx</t>
  </si>
  <si>
    <t>131招标文件正文.pdf</t>
  </si>
  <si>
    <t>明光市产教融合发展示范园多功能报告厅项目</t>
  </si>
  <si>
    <t>明光市教育体育局</t>
  </si>
  <si>
    <t>江苏金赛工程项目管理有限公司</t>
  </si>
  <si>
    <t>安徽云舰建设有限公司</t>
  </si>
  <si>
    <t>安徽圣涛建设工程有限公司</t>
  </si>
  <si>
    <t>132.评标情况一览表.xlsx</t>
  </si>
  <si>
    <t>132.招标文件正文.pdf</t>
  </si>
  <si>
    <t>明光市创业大道周边管网改造工程</t>
  </si>
  <si>
    <t>明光市住房和城乡建设局</t>
  </si>
  <si>
    <t>明光市明城建设工程招标代理有限公司</t>
  </si>
  <si>
    <t>安徽昱道建设工程有限公司</t>
  </si>
  <si>
    <t>安徽邦龙建业有限公司</t>
  </si>
  <si>
    <t>安徽盛乾建筑工程有限公司</t>
  </si>
  <si>
    <t xml:space="preserve">安徽昱道建设工程有限公司
</t>
  </si>
  <si>
    <t>133.评标情况一览表.xlsx</t>
  </si>
  <si>
    <t>133.招标文件正文.pdf</t>
  </si>
  <si>
    <t>戴巷村红色教育基地项目</t>
  </si>
  <si>
    <t>明光市苏巷镇人民政府</t>
  </si>
  <si>
    <t>安徽庆创项目管理有限公司</t>
  </si>
  <si>
    <t>安徽明泽建设有限公司</t>
  </si>
  <si>
    <t>安徽昱满建设工程有限公司</t>
  </si>
  <si>
    <t>安徽耀扬建设工程有限公司</t>
  </si>
  <si>
    <t>134.评标情况一览表.xlsx</t>
  </si>
  <si>
    <t>134.招标文件正文.pdf</t>
  </si>
  <si>
    <t>明光市城市更新一期实验小学智能化工程项目（重新招标）</t>
  </si>
  <si>
    <t>安徽华邃工程项目管理咨询有限公司</t>
  </si>
  <si>
    <t>安徽网能信息技术有限公司</t>
  </si>
  <si>
    <t>南京熊猫信息产业有限公司</t>
  </si>
  <si>
    <t>盛云科技有限公司</t>
  </si>
  <si>
    <t>135.评标情况一览表.xlsx</t>
  </si>
  <si>
    <t>135.招标文件正文.pdf</t>
  </si>
  <si>
    <t>明光市城市更新一期实验小学智能化工程项目（重新招标）.xlsx</t>
  </si>
  <si>
    <t>明光市产教融合发展示范园职业教育基地生活服务中心外墙工程</t>
  </si>
  <si>
    <t>安徽省乐澄建设项目管理有限公司</t>
  </si>
  <si>
    <t>安徽明都建设工程有限公司</t>
  </si>
  <si>
    <t>江苏宏锦建设有限公司</t>
  </si>
  <si>
    <t>136.评标情况一览表.xlsx</t>
  </si>
  <si>
    <t>136.招标文件正文.pdf</t>
  </si>
  <si>
    <t>明光市城市更新一期实验小学智能化工程项目</t>
  </si>
  <si>
    <t>浙江中博信息工程有限公司</t>
  </si>
  <si>
    <t>浙江东冠信息技术有限公司</t>
  </si>
  <si>
    <t>江苏中科智能系统有限公司</t>
  </si>
  <si>
    <t>137.评标情况一览表.xlsx</t>
  </si>
  <si>
    <t>137.招标文件正文.pdf</t>
  </si>
  <si>
    <t>明光市城市更新一期实验小学智能化工程项目.xlsx</t>
  </si>
  <si>
    <t>张八岭镇联村标准化厂房（1号）建设项目</t>
  </si>
  <si>
    <t>明光市张八岭镇人民政府</t>
  </si>
  <si>
    <t>安徽省华瑞智联工程项目管理有限公司</t>
  </si>
  <si>
    <t>安徽鑫鸿源建设工程有限公司</t>
  </si>
  <si>
    <t>滁州奇点建设工程有限公司</t>
  </si>
  <si>
    <t>138.评标情况一览表.xlsx</t>
  </si>
  <si>
    <t>138.招标文件正文.pdf</t>
  </si>
  <si>
    <t>桥头镇标准化十六号厂房项目</t>
  </si>
  <si>
    <t>明光市桥头镇人民政府</t>
  </si>
  <si>
    <t>致君项目管理有限公司</t>
  </si>
  <si>
    <t>牵头方：贵弘建设发展有限公司
联合体：滁州市中远建筑安装工程有限公司</t>
  </si>
  <si>
    <t>滁州市冠宇建设有限公司</t>
  </si>
  <si>
    <t>安徽壹心建设工程有限公司</t>
  </si>
  <si>
    <t>139.评标情况一览表.xlsx</t>
  </si>
  <si>
    <t>139.招标文件正文.pdf</t>
  </si>
  <si>
    <t>张八岭镇联村标准化厂房(2号)建设项目</t>
  </si>
  <si>
    <t>安徽省跃龙咨询有限公司</t>
  </si>
  <si>
    <t>安徽鸿友建筑工程有限公司</t>
  </si>
  <si>
    <t>140.评标情况一览表.xlsx</t>
  </si>
  <si>
    <t>140.招标文件正文.pdf</t>
  </si>
  <si>
    <t>桥头镇标准化十五号厂房项目</t>
  </si>
  <si>
    <t>安徽观景建设有限公司</t>
  </si>
  <si>
    <t>安徽俏海建设工程有限公司</t>
  </si>
  <si>
    <t>141.评标情况一览表.xlsx</t>
  </si>
  <si>
    <t>141.招标文件正文.pdf</t>
  </si>
  <si>
    <t>桥头镇标准化十四号厂房项目</t>
  </si>
  <si>
    <t>安徽双嘉项目管理有限公司</t>
  </si>
  <si>
    <t>安徽明峰建筑工程有限公司</t>
  </si>
  <si>
    <t>安徽威劭建设工程有限公司</t>
  </si>
  <si>
    <t>142.评标情况一览表.xlsx</t>
  </si>
  <si>
    <t>142.招标文件正文.pdf</t>
  </si>
  <si>
    <t>张八岭镇联村标准化厂房（3号）建设项目</t>
  </si>
  <si>
    <t>安徽天邦建筑工程有限公司</t>
  </si>
  <si>
    <t>滁州昊一建设工程有限公司</t>
  </si>
  <si>
    <t>安徽明鼎建筑有限公司</t>
  </si>
  <si>
    <t>143.评标情况一览表.xlsx</t>
  </si>
  <si>
    <t>143.招标文件正文.pdf</t>
  </si>
  <si>
    <t>桥头镇标准化十九号厂房项目</t>
  </si>
  <si>
    <t>安徽中允项目管理有限公司</t>
  </si>
  <si>
    <t>安徽众茂建设工程有限公司</t>
  </si>
  <si>
    <t>安徽品茗建设工程项目管理有限公司</t>
  </si>
  <si>
    <t>144.评标情况一览表.xlsx</t>
  </si>
  <si>
    <t>144.招标文件正文.pdf</t>
  </si>
  <si>
    <t>桥头镇标准化十八号厂房项目</t>
  </si>
  <si>
    <t>安徽中控建设工程有限公司</t>
  </si>
  <si>
    <t>滁州天禾建筑工程有限公司</t>
  </si>
  <si>
    <t>145.评标情况一览表.xlsx</t>
  </si>
  <si>
    <t>145.招标文件正文.pdf</t>
  </si>
  <si>
    <t>桥头镇标准化十七号厂房项目</t>
  </si>
  <si>
    <t>安徽金泉工程管理咨询有限公司</t>
  </si>
  <si>
    <t>安徽醉翁园林建设有限公司</t>
  </si>
  <si>
    <t>146.评标情况一览表.xlsx</t>
  </si>
  <si>
    <t>146.招标文件正文.pdf</t>
  </si>
  <si>
    <t>管店镇凤山村移民标准化厂房及附属设施建设项目</t>
  </si>
  <si>
    <t>明光市管店镇人民政府</t>
  </si>
  <si>
    <t>安徽春泉工程咨询有限公司</t>
  </si>
  <si>
    <t>安徽长灵建设工程有限公司</t>
  </si>
  <si>
    <t>147.评标情况一览表.xlsx</t>
  </si>
  <si>
    <t>147.招标文件正文.pdf</t>
  </si>
  <si>
    <t>明光市产教融合发展示范园职业教育基地智能化项目（重新招标）</t>
  </si>
  <si>
    <t>安徽泽普项目管理咨询有限公司</t>
  </si>
  <si>
    <t>光谷技术有限公司</t>
  </si>
  <si>
    <t>中移建设有限公司</t>
  </si>
  <si>
    <t>重庆德生鼎盛实业发展有限公司</t>
  </si>
  <si>
    <t>148.评标情况一览表.xls</t>
  </si>
  <si>
    <t>148.招标文件正文.pdf</t>
  </si>
  <si>
    <t>明光市产教融合发展示范园职业教育基地智能化项目（重新招标）.xlsx</t>
  </si>
  <si>
    <t>三界镇农耕体验基地项目</t>
  </si>
  <si>
    <t>明光市三界镇人民政府</t>
  </si>
  <si>
    <t>安徽骁瑶项目管理有限公司</t>
  </si>
  <si>
    <t>149.评标情况一览表.xlsx</t>
  </si>
  <si>
    <t>149.招标文件正文.pdf</t>
  </si>
  <si>
    <t>苏滁文体中心施工项目</t>
  </si>
  <si>
    <t>滁州苏滁产城开发有限公司</t>
  </si>
  <si>
    <t>综合评估法 (评定分离）</t>
  </si>
  <si>
    <t>联合体牵头方：中国五冶集团有限公司
联合体成员方：中建四局第六建设有限公司</t>
  </si>
  <si>
    <t>联合体牵头方：中国建筑第八工程局有限公司
联合体成员方：安徽建工建设安装集团有限公司</t>
  </si>
  <si>
    <t>联合体牵头方：中国建筑第二工程局有限公司
联合体成员方：安徽华鑫建筑工程有限公司</t>
  </si>
  <si>
    <t>附件：评标情况一览表.xlsx</t>
  </si>
  <si>
    <t>苏滁文体中心施工项目招标文件.pdf</t>
  </si>
  <si>
    <t>苏滁文体中心施工项目.xlsx</t>
  </si>
  <si>
    <t>凤阳县产业强链标准化厂房建设项目-凤阳县武店镇标准化厂房项目工程施工</t>
  </si>
  <si>
    <t>凤阳县凤武产业园管理服务有限公司</t>
  </si>
  <si>
    <t>安徽凯吉通工程咨询有限公司</t>
  </si>
  <si>
    <t>湖南省第五工程有限公司</t>
  </si>
  <si>
    <t>凤阳县产业强链标准化厂房建设项目-凤阳县武店镇标准化厂房项目工程施工.评标情况一览表.xlsx</t>
  </si>
  <si>
    <t>凤阳县产业强链标准化厂房建设项目-凤阳县武店镇标准化厂房项目工程施工招标文件正文.pdf</t>
  </si>
  <si>
    <t>凤阳县产业强链标准化厂房建设项目-凤阳县武店镇标准化厂房项目工程施工.xlsx</t>
  </si>
  <si>
    <t>明光市经开区产城新区污水处理厂及配套设施建设项目</t>
  </si>
  <si>
    <t>明光久源产业发展有限公司</t>
  </si>
  <si>
    <t>施工+运营</t>
  </si>
  <si>
    <t>联合体牵头人：中亿丰建设集团股份有限公司
联合体成员：江苏苏美达成套设备工程有限公司</t>
  </si>
  <si>
    <t>联合体牵头人：安徽元鼎建设工程有限责任公司
联合体成员：安徽阳光水务有限责任公司</t>
  </si>
  <si>
    <t>联合体牵头人：江苏辰宇建设工程有限公司
联合体成员：广东绿日环境科技有限公司</t>
  </si>
  <si>
    <t>明光市经开区产城新区污水处理厂及配套设施建设项目评标情况一览表.xlsx</t>
  </si>
  <si>
    <t>明光市经开区产城新区污水处理厂及配套设施建设项目招标文件正文.pdf</t>
  </si>
  <si>
    <t>明光市经开区产城新区污水处理厂及配套设施建设项目.xlsx</t>
  </si>
  <si>
    <t>市政</t>
  </si>
  <si>
    <t>明光市第三自来水有限公司供水能力提升及管网项目-第三自来水公司扩建工程</t>
  </si>
  <si>
    <t>明光明诚供水集团有限公司</t>
  </si>
  <si>
    <t>牵头方：广西建工集团冶金建设有限公司
成员方：广西建工第一建筑工程集团有限公司</t>
  </si>
  <si>
    <t>牵头方：恒基建设集团有限公司
成员方：滁州市嘉冠建设工程有限公司</t>
  </si>
  <si>
    <t>牵头方：天津市管道工程集团有限公司
成员方：天津市华水自来水建设有限公司</t>
  </si>
  <si>
    <t>明光市第三自来水有限公司供水能力提升及管网项目-第三自来水公司扩建工程评标情况一览表.xlsx</t>
  </si>
  <si>
    <t>明光市第三自来水有限公司供水能力提升及管网项目-第三自来水公司扩建工程招标文件正文.pdf</t>
  </si>
  <si>
    <t>明光市第三自来水有限公司供水能力提升及管网项目-第三自来水公司扩建工程.xlsx</t>
  </si>
  <si>
    <t>凤阳海螺光伏产业一体化项目一期(配套附属设施)施工总承包评标情况一览表.xlsx</t>
  </si>
  <si>
    <t>凤阳海螺光伏产业一体化项目一期(配套附属设施)施工总承包招标文件正文.pdf</t>
  </si>
  <si>
    <t>凤阳海螺光伏产业一体化项目一期(配套附属设施)施工总承包(1).xlsx</t>
  </si>
  <si>
    <t>来安县汊河镇老旧小区改造项目黄牌小区外立面、路灯、监控、雨污水及室外配套等综合整治工程</t>
  </si>
  <si>
    <t>安徽新建控股集团有限公司（牵头单位）
滁州胜林建筑工程有限公司（成员单位）</t>
  </si>
  <si>
    <t>安徽省华建建设工程有限公司</t>
  </si>
  <si>
    <t>安徽远维建设有限公司（牵头单位）
安徽京田建筑工程有限公司 （成员单位）</t>
  </si>
  <si>
    <t>来安县汊河镇老旧小区改造项目黄牌小区外立面、路灯、监控、雨污水及室外配套等综合整治工程评标情况一览表.pdf</t>
  </si>
  <si>
    <t>来安县汊河镇老旧小区改造项目黄牌小区外立面、路灯、监控、雨污水及室外配套等综合整治工程招标文件正文.pdf</t>
  </si>
  <si>
    <t>来安县汊河镇老旧小区改造项目黄牌小区外立面、路灯、监控、雨污水及室外配套等综合整治工程.xlsx</t>
  </si>
  <si>
    <t>滁州市凤阳明中都皇故城文化旅游区建设项目-明中都皇故城宫城环境整治工程（三期）项目（第二标段）</t>
  </si>
  <si>
    <t>凤阳明中都皇故城文化旅游开发有限公司</t>
  </si>
  <si>
    <t>曲阜市三孔古建筑工程管理处</t>
  </si>
  <si>
    <t>滁州市凤阳明中都皇故城文化旅游区建设项目-明中都皇故城宫城环境整治工程（三期）项目（第二标段）评标情况一览表.xlsx</t>
  </si>
  <si>
    <t>滁州市凤阳明中都皇故城文化旅游区建设项目-明中都皇故城宫城环境整治工程（三期）项目（第二标段）招标文件.pdf</t>
  </si>
  <si>
    <t>滁州市凤阳明中都皇故城文化旅游区建设项目-明中都皇故城宫城环境整治工程（三期）项目（第二标段）.xlsx</t>
  </si>
  <si>
    <t>农业农村</t>
  </si>
  <si>
    <t>2024年天长市石梁镇高标准农田建设项目（2024年天长市高标准农田建设项目（第二批）二标段）（第二次发布）</t>
  </si>
  <si>
    <t>天长市乡村振兴促进中心、天长市农业发展有限公司</t>
  </si>
  <si>
    <t>联合体牵头方：天长市泰众建筑工程有限公司
联合体成员：四川鸿成佳建筑工程有限责任公司</t>
  </si>
  <si>
    <t>安徽宸功环境工程有限公司</t>
  </si>
  <si>
    <t>安徽省天成水利工程有限公司</t>
  </si>
  <si>
    <t>1.评标情况一览表.xlsx</t>
  </si>
  <si>
    <t>1.招标文件正文 (1)(2).pdf</t>
  </si>
  <si>
    <t>1.2024年天长市石梁镇高标准农田建设项目（2024年天长市高标准农田建设项目（第二批）二标段）.xlsx</t>
  </si>
  <si>
    <t>2025年凤阳县小溪河镇大庙余村高标准农田建设项目（六标段）</t>
  </si>
  <si>
    <t>滁州市农业农村局</t>
  </si>
  <si>
    <t>综合评估法-适用于 B 类项目</t>
  </si>
  <si>
    <t>山东中泽水利建筑工程有限公司</t>
  </si>
  <si>
    <t>安徽华锐建筑工程有限公司</t>
  </si>
  <si>
    <t>河南民生新投建设工程有限公司</t>
  </si>
  <si>
    <t>2.评标情况一览表(1).xlsx</t>
  </si>
  <si>
    <t>2.招标文件正文 (1)(2).pdf</t>
  </si>
  <si>
    <t>2.2025年凤阳县小溪河镇大庙余村高标准农田建设项目（六标段）.xlsx</t>
  </si>
  <si>
    <t>凤阳县2024年高标准农田建设及大托管项目-2024年凤阳县红心镇高标准农田建设项目(三标段)三次</t>
  </si>
  <si>
    <t>凤阳县临濠产业投资有限公司</t>
  </si>
  <si>
    <t>安徽辰丰项目管理有限公司</t>
  </si>
  <si>
    <t>安徽宏兴项目管理有限公司</t>
  </si>
  <si>
    <t>安徽三洲水利建设有限公司</t>
  </si>
  <si>
    <t>安徽宏志建设集团有限公司</t>
  </si>
  <si>
    <t>3.评标情况一览表1.22.xlsx</t>
  </si>
  <si>
    <t>3.招标文件正文 (1)(2).pdf</t>
  </si>
  <si>
    <t>3.凤阳县2024年高标准农田建设及大托管项目-2024年凤阳县红心镇高标准农田建设项目(三标段)三次.xlsx</t>
  </si>
  <si>
    <t>凤阳县乡村振兴土地提质增效项目-凤阳县2025年板桥镇安乐村高标准农田建设项目</t>
  </si>
  <si>
    <t>凤阳县临濠产业投资有限公司、凤阳县农业农村局（凤阳县乡村振兴局）</t>
  </si>
  <si>
    <t>江西赣禹工程建设有限公司</t>
  </si>
  <si>
    <t>4.评标情况一览表.xlsx</t>
  </si>
  <si>
    <t>4.招标文件正文 (1)(2).pdf</t>
  </si>
  <si>
    <t>4.凤阳县乡村振兴土地提质增效项 目-凤阳县 2025 年板桥镇安乐村高标准农田建设项目.xlsx</t>
  </si>
  <si>
    <t>凤阳县乡村振兴土地提质增效项目-凤阳县2025年刘府镇拐王村高标准农田建设项目</t>
  </si>
  <si>
    <t>滁州临濠建设管理有限公司</t>
  </si>
  <si>
    <t>河南省鹏升建筑工程有限公司</t>
  </si>
  <si>
    <t>5.评标情况一览表.xlsx</t>
  </si>
  <si>
    <t>5.招标文件正文 (1)(1).pdf</t>
  </si>
  <si>
    <t>5.凤阳县乡村振兴土地提质增效项目-凤阳县2025年刘府镇拐王村高标准农田建设项目.xlsx</t>
  </si>
  <si>
    <t>2025年明光市管店镇管店村等三个村高标准农田建设项目（三标段）（重新发布）</t>
  </si>
  <si>
    <t>明光市农业农村局（明光市水产局、明光市乡村振兴局）</t>
  </si>
  <si>
    <t>综合评估法-适用于 C 类项目</t>
  </si>
  <si>
    <t>合肥东方建设工程有限公司</t>
  </si>
  <si>
    <t>安徽科源建设工程有限公司</t>
  </si>
  <si>
    <t>安徽远维建设有限公司</t>
  </si>
  <si>
    <t>6.附件评标情况一览表.xlsx</t>
  </si>
  <si>
    <t>6.招标文件正文 (1)(2).pdf</t>
  </si>
  <si>
    <t>6.2025年明光市管店镇管店村等三个村高标准农田建设项目（三标段）（重新发布）.xlsx</t>
  </si>
  <si>
    <t>2024-12-27</t>
  </si>
  <si>
    <t>2025年明光市明西街道高标准农田建设项目（四标段）（重新发布）</t>
  </si>
  <si>
    <t>安徽展荣项目管理有限公司</t>
  </si>
  <si>
    <t>浙江安盛爆破工程有限公司</t>
  </si>
  <si>
    <t>安徽浩宸市政工程有限公司</t>
  </si>
  <si>
    <t>7.评标情况一览表(1).xlsx</t>
  </si>
  <si>
    <t>7.招标文件正文 (1)(2).pdf</t>
  </si>
  <si>
    <t>7.2025年明光市明西街道高标准农田建设项目（四标段）（重新发布）.xlsx</t>
  </si>
  <si>
    <t>凤阳县2024年高标准农田建设及大托管项目-2024年凤阳县红心镇高标准农田建设项目(三标段)二次</t>
  </si>
  <si>
    <t>途瑞达建设集团有限公司</t>
  </si>
  <si>
    <t>8.评标情况一览表12.25.xlsx</t>
  </si>
  <si>
    <t>8.招标文件正文 (1)(2).pdf</t>
  </si>
  <si>
    <t>8.凤阳县2024年高标准农田建设及大托管项目-2024年凤阳县红心镇高标准农田建设项目(三标段)二次.xlsx</t>
  </si>
  <si>
    <t>2025年明光市明西街道后薛村高标准农田建设项目（五标段）</t>
  </si>
  <si>
    <t>明光市农业农村局</t>
  </si>
  <si>
    <t>安徽省辰丰建筑工程有限责任公司</t>
  </si>
  <si>
    <t>安徽泰能建设有限公司</t>
  </si>
  <si>
    <t>天长市盛林水电建设有限公司</t>
  </si>
  <si>
    <t>9.评标情况一览表.xlsx</t>
  </si>
  <si>
    <t>9.招标文件正文 (1)(2).pdf</t>
  </si>
  <si>
    <t>9.2025年明光市明西街道后薛村高标准农田建设项目（五标段）.xlsx</t>
  </si>
  <si>
    <t>2025年明光市张八岭镇高标准农田建设项目（一标段）</t>
  </si>
  <si>
    <t>河南长锦建设工程有限公司</t>
  </si>
  <si>
    <t>河南浩源水利水电工程有限公司</t>
  </si>
  <si>
    <t>建航建工集团有限公司</t>
  </si>
  <si>
    <t>10.评标情况一览表.xlsx</t>
  </si>
  <si>
    <t>10.招标文件正文 (1)(2).pdf</t>
  </si>
  <si>
    <t>10.2025年明光市张八岭镇高标准农田建设项目（一标段）.xlsx</t>
  </si>
  <si>
    <t>2025年明光市潘村镇高标准农田建设项目（二标段）</t>
  </si>
  <si>
    <t>正航水利集团有限公司</t>
  </si>
  <si>
    <t>湖北森垚建设有限公司</t>
  </si>
  <si>
    <t>11.评标情况一览表(1).xlsx</t>
  </si>
  <si>
    <t>11.招标文件正文 (1)(2).pdf</t>
  </si>
  <si>
    <t>11.2025年明光市潘村镇高标准农田建设项目（二标段）.xlsx</t>
  </si>
  <si>
    <t>2025年凤阳县玄武街道门台社区高标准农田建设项目（二标段）</t>
  </si>
  <si>
    <t>凤阳县农业农村局（凤阳县乡村振兴局）</t>
  </si>
  <si>
    <t>四川川运佳建筑工程有限公司</t>
  </si>
  <si>
    <t>12.评标情况一览表.xlsx</t>
  </si>
  <si>
    <t>12.招标文件正文 (1)(2).pdf</t>
  </si>
  <si>
    <t>12.2025年凤阳县玄武街道门台社区高标准农田建设项目（二标段）.xlsx</t>
  </si>
  <si>
    <t>2025年凤阳县小溪河镇金庄村高标准农田建设项目（三标段）</t>
  </si>
  <si>
    <t>凤阳县农业农村局（凤阳县乡村振兴局</t>
  </si>
  <si>
    <t>安徽满彩建设工程有限公司</t>
  </si>
  <si>
    <t>13.评标情况一览表.xlsx</t>
  </si>
  <si>
    <t>13.招标文件正文(2).pdf</t>
  </si>
  <si>
    <t>13.2025年凤阳县小溪河镇金庄村高标准农田建设项目（三标段）.xlsx</t>
  </si>
  <si>
    <t>2025年凤阳县总铺镇山北吴村等2个行政村高标准农田建设项目（四标段）</t>
  </si>
  <si>
    <t>四川宏纬建筑工程有限公司</t>
  </si>
  <si>
    <t>14.评标情况一览表.xlsx</t>
  </si>
  <si>
    <t>14.招标文件正文 (5).pdf</t>
  </si>
  <si>
    <t>14.2025年凤阳县总铺镇山北吴村等2个行政村高标准农田建设项目（四标段）.xlsx</t>
  </si>
  <si>
    <t>2024年琅琊区西涧街道、三官街道高标准农田建设项目</t>
  </si>
  <si>
    <t>滁州市琅琊区农业农村局</t>
  </si>
  <si>
    <t>鸿天创兴集团有限公司</t>
  </si>
  <si>
    <t>溧阳市水利市政建筑有限公司</t>
  </si>
  <si>
    <t>安徽池州第三建设集团有限公司</t>
  </si>
  <si>
    <t>15.评标情况一览表(1).xlsx</t>
  </si>
  <si>
    <t>15.招标文件正文(3).pdf</t>
  </si>
  <si>
    <t>15.2024年琅琊区西涧街道、三官街道高标准农田建设项目.xlsx</t>
  </si>
  <si>
    <t>2024年明光市古沛镇高标准农田建设项目（二标段）</t>
  </si>
  <si>
    <t>明光市农业农村局（明光市水产局、明光市乡村振兴局）、明光跃龙新材料有限公司</t>
  </si>
  <si>
    <t>宇宸建设有限公司</t>
  </si>
  <si>
    <t>牵头方：安徽华睿水利建设有限公司
联合体成员：安徽博雅园林建筑有限公司</t>
  </si>
  <si>
    <t>牵头方：安徽宝仁建设工程有限公司
联合体成员：武汉博翼建设工程有限公司</t>
  </si>
  <si>
    <t>1.评标情况一览表(1).xlsx</t>
  </si>
  <si>
    <t>1.招标文件正文 (2).pdf</t>
  </si>
  <si>
    <t>1.2024年明光市古沛镇高标准农田建设项目（二标段）.xlsx</t>
  </si>
  <si>
    <t>2024年明光市明西街道高标准农田建设项目（七标段）</t>
  </si>
  <si>
    <t>合肥禹兴建设工程有限公司</t>
  </si>
  <si>
    <t>安徽中彩园林建设工程有限公司</t>
  </si>
  <si>
    <t>2.附件评标情况一览表.xlsx</t>
  </si>
  <si>
    <t>2.招标文件正文 (1)(3).pdf</t>
  </si>
  <si>
    <t>2.2024年明光市明西街道高标准农田建设项目（七标段）.xlsx</t>
  </si>
  <si>
    <t>2024年明光市石坝镇太平集村高标准农田建设项目（五标段）</t>
  </si>
  <si>
    <t>安徽铭信建筑工程有限公司</t>
  </si>
  <si>
    <t>楚宸建设集团有限公司</t>
  </si>
  <si>
    <t>安徽犇富建设工程有限公司</t>
  </si>
  <si>
    <t>3.评标情况一览表(1).xlsx</t>
  </si>
  <si>
    <t>3.招标文件正文 (1)(3).pdf</t>
  </si>
  <si>
    <t>3.2024年明光市石坝镇太平集村高标准农田建设项目(五标段).xlsx</t>
  </si>
  <si>
    <t>2024年明光市石坝镇包集村高标准农田建设项目（十标段）</t>
  </si>
  <si>
    <t>安徽实操建筑工程有限责任公司</t>
  </si>
  <si>
    <t>青阳天成项目管理有限公司</t>
  </si>
  <si>
    <t>安徽铭阳工程管理有限公司</t>
  </si>
  <si>
    <t>4.评标情况一览表(1).xlsx</t>
  </si>
  <si>
    <t>4.招标文件正文 (1)(3).pdf</t>
  </si>
  <si>
    <t>4.2024年明光市石坝镇包集村高标准农田建设项目（十标段）.xlsx</t>
  </si>
  <si>
    <t>2024年明光市张八岭镇高标准农田建设项目（十一标段）</t>
  </si>
  <si>
    <t>安徽圣钰项目管理咨询有限公司</t>
  </si>
  <si>
    <t>安徽飞盛工程项目管理有限公司</t>
  </si>
  <si>
    <t>安徽杰智建设工程有限公司</t>
  </si>
  <si>
    <t>安徽鸿为建设工程有限公司</t>
  </si>
  <si>
    <t>5.评标情况一览表(1).xlsx</t>
  </si>
  <si>
    <t>5.招标文件正文 (1)(2).pdf</t>
  </si>
  <si>
    <t>5.2024年明光市张八岭镇高标准农田建设项目（十一标段）.xlsx</t>
  </si>
  <si>
    <t>2024年明光市涧溪镇蒲塘村等3个行政村高标准农田建设项目（九标段）</t>
  </si>
  <si>
    <t>安徽科睿工程项目管理有限公司</t>
  </si>
  <si>
    <t>安徽隆广建设工程有限公司</t>
  </si>
  <si>
    <t>安徽坤城建设工程有限公司</t>
  </si>
  <si>
    <t>安徽泓深建设有限公司</t>
  </si>
  <si>
    <t>6.评标情况一览表(1).xlsx</t>
  </si>
  <si>
    <t>6.招标文件正文 (1)(3).pdf</t>
  </si>
  <si>
    <t>6.2024年明光市涧溪镇蒲塘村等3个行政村高标准农田建设项目（九标段）.xlsx</t>
  </si>
  <si>
    <t>2024年明光市苏巷镇高标准农田建设项目（一标段）</t>
  </si>
  <si>
    <t>盛唐工程咨询集团有限公司</t>
  </si>
  <si>
    <t>枞阳县水利建筑安装工程有限责任公司</t>
  </si>
  <si>
    <t>宣城市皖江水利建筑工程有限公司</t>
  </si>
  <si>
    <t>牵头人：宣城市振华水利工程有限责任公司联合体成员：安徽弘毅建设项目管理有限公司</t>
  </si>
  <si>
    <t>7.评标情况一览表(2).xlsx</t>
  </si>
  <si>
    <t>7.招标文件正文 (1)(3).pdf</t>
  </si>
  <si>
    <t>7.2024年明光市苏巷镇高标准农田建设项目（一标段）.xlsx</t>
  </si>
  <si>
    <t>2024年明光市潘村镇高标准农田建设项目（八标段）</t>
  </si>
  <si>
    <t>安徽昇紫水利建设工程有限公司</t>
  </si>
  <si>
    <t>滁州市安通建筑工程有限公司</t>
  </si>
  <si>
    <t>8.评标情况一览表.xlsx</t>
  </si>
  <si>
    <t>8.招标文件正文 (1)(3).pdf</t>
  </si>
  <si>
    <t>8.2024年明光市潘村镇高标准农田建设项目（八标段）.xlsx</t>
  </si>
  <si>
    <t>2024年明光市明南街道高标准农田建设项目（三标段）</t>
  </si>
  <si>
    <t>河南瑞东建筑工程有限公司</t>
  </si>
  <si>
    <t>江西晟江水利水电工程有限公司</t>
  </si>
  <si>
    <t>牵头方：安徽淠源水利工程有限公司
联合体成员：含山县江河水利建筑安装有限公司</t>
  </si>
  <si>
    <t>9.评标情况一览表(1).xlsx</t>
  </si>
  <si>
    <t>9.招标文件正文 (1)(3).pdf</t>
  </si>
  <si>
    <t>9.2024年明光市明南街道高标准农田建设项目（三标段）.xlsx</t>
  </si>
  <si>
    <t>全椒县高标准农田建设项目（马厂镇新安村）二标段</t>
  </si>
  <si>
    <t>全椒万禾乡村建设发展有限公司、全椒县农业农村局</t>
  </si>
  <si>
    <t>安徽冉越项目管理有限公司</t>
  </si>
  <si>
    <t>安徽璞石生态建设有限公司</t>
  </si>
  <si>
    <t>安徽东特建设工程有限公司</t>
  </si>
  <si>
    <t>安徽省禹豪建设工程有限公司</t>
  </si>
  <si>
    <t>10.评标情况一览表(1).xlsx</t>
  </si>
  <si>
    <t>10.招标文件正文 (1)(3).pdf</t>
  </si>
  <si>
    <t>10.全椒县高标准农田建设项目（马厂镇新安村）二标段.xlsx</t>
  </si>
  <si>
    <t>全椒县高标准农田建设项目（武岗镇中心村）四标段</t>
  </si>
  <si>
    <t xml:space="preserve"> 
合普项目管理咨询集团有限公司</t>
  </si>
  <si>
    <t>安徽绿洲建设工程有限公司</t>
  </si>
  <si>
    <t>安徽省汇弘建设工程有限公司</t>
  </si>
  <si>
    <t>安徽佰正建设工程有限公司</t>
  </si>
  <si>
    <t>1.评标情况一览表(2).xlsx</t>
  </si>
  <si>
    <t>1.招标文件正文(2).pdf</t>
  </si>
  <si>
    <t>1.全椒县高标准农田建设项目（武岗镇中心村）四标段.xlsx</t>
  </si>
  <si>
    <t>2024年明光市女山湖镇高标准农田建设项目（六标段）</t>
  </si>
  <si>
    <t xml:space="preserve"> 
明光市农业农村局（明光市水产局、明光市乡村振兴局）、明光跃龙新材料有限公司</t>
  </si>
  <si>
    <t xml:space="preserve"> 
安徽百士德工程咨询有限公司</t>
  </si>
  <si>
    <t>湖北世纪鑫成水利水电工程有限公司</t>
  </si>
  <si>
    <t>安徽熠鼎建筑工程有限公司</t>
  </si>
  <si>
    <t xml:space="preserve"> 
湖北世纪鑫成水利水电工程有限公司</t>
  </si>
  <si>
    <t>2.评标情况一览表.xlsx</t>
  </si>
  <si>
    <t>2.招标文件正文(2).pdf</t>
  </si>
  <si>
    <t>2.2024年明光市女山湖镇高标准农田建设项目（六标段）.xlsx</t>
  </si>
  <si>
    <t>全椒县高标准农田建设项目（六镇镇白酒村）一标段</t>
  </si>
  <si>
    <t>安徽汘泽建设有限公司</t>
  </si>
  <si>
    <t>安徽四季春建设有限公司</t>
  </si>
  <si>
    <t>安徽江泽建设有限公司</t>
  </si>
  <si>
    <t>3.评标情况一览表.xlsx</t>
  </si>
  <si>
    <t>3.招标文件正文(2).pdf</t>
  </si>
  <si>
    <t>3.全椒县高标准农田建设项目（六镇镇白酒村）一标段.xlsx</t>
  </si>
  <si>
    <t>全椒县高标准农田建设项目（石沛镇联盟村）三标段</t>
  </si>
  <si>
    <t>全椒县农业农村局</t>
  </si>
  <si>
    <t>安徽川水建设工程有限公司</t>
  </si>
  <si>
    <t>中辰鸿泰建设有限公司</t>
  </si>
  <si>
    <t>浩天建工集团有限公司</t>
  </si>
  <si>
    <t>4.附件评标情况一览表.xlsx</t>
  </si>
  <si>
    <t>4.招标文件正文(2).pdf</t>
  </si>
  <si>
    <t>4.全椒县高标准农田建设项目（石沛镇联盟村）三标段.xlsx</t>
  </si>
  <si>
    <t>凤阳县2024年高标准农田建设及大托管项目-2024年凤阳县大庙镇高陈村高标准农田建设项目(八标段）</t>
  </si>
  <si>
    <t>诸暨恒乐建设有限公司</t>
  </si>
  <si>
    <t>5.评标情况一览表(2).xlsx</t>
  </si>
  <si>
    <t>5.招标文件正文(2).pdf</t>
  </si>
  <si>
    <t>5.凤阳县2024年高标准农田建设及大托管项目-2024年凤阳县大庙镇高陈村高标准农田建设项目(八标段）.xlsx</t>
  </si>
  <si>
    <t>凤阳县2024年高标准农田建设及大托管项目-2024年凤阳县刘府镇高标准农田建设项目(五标段)</t>
  </si>
  <si>
    <t>河南泽荣建设工程有限公司</t>
  </si>
  <si>
    <t>6.五标段评标情况一览表.xlsx</t>
  </si>
  <si>
    <t>6.招标文件正文(3).pdf</t>
  </si>
  <si>
    <t>6.凤阳县2024年高标准农田建设及大托管项目-2024年凤阳县刘府镇高标准农田建设项目(五标段).xlsx</t>
  </si>
  <si>
    <t>凤阳县乡村振兴土地提质增效项目-2024年凤阳县小溪河镇高标准农田建设项目(一标段)</t>
  </si>
  <si>
    <t>安徽世强工程项目管理有限公司</t>
  </si>
  <si>
    <t>安徽华睿水利建设有限公司</t>
  </si>
  <si>
    <t>1.凤阳县乡村振兴土地提质增效项目-2024年凤阳县小溪河镇高标准农田建设项目(一标段).xlsx</t>
  </si>
  <si>
    <t>2024年明光市涧溪镇鲁山村高标准农田建设项目（四标段）</t>
  </si>
  <si>
    <t>中诺天中工程管理有限公司</t>
  </si>
  <si>
    <t>合体牵头人：安徽达鑫建筑工程有限公司联合体成员：江西省降龙水利水电建设工程有限公司</t>
  </si>
  <si>
    <t>安徽宝昌建筑工程有限公司</t>
  </si>
  <si>
    <t>三赢建设集团有限公司</t>
  </si>
  <si>
    <t>2.2024年明光市涧溪镇鲁山村高标准农田建设项目（四标段）.xlsx</t>
  </si>
  <si>
    <t>定远县2024年高标准农田建设项目(14标段)</t>
  </si>
  <si>
    <t>远县农业农村局、定远县农业发展有限责任公司</t>
  </si>
  <si>
    <t>安徽能发建设项目管理咨询有限公司</t>
  </si>
  <si>
    <t>四川洲桥水电工程有限公司</t>
  </si>
  <si>
    <t>3.定远县2024年高标准农田建设项目(14标段).xlsx</t>
  </si>
  <si>
    <t>凤阳县乡村振兴土地提质增效项目-2024年凤阳县府城镇高标准农田建设项目（二标段）</t>
  </si>
  <si>
    <t>宏峰建设集团有限公司</t>
  </si>
  <si>
    <t>4.凤阳县乡村振兴土地提质增效项目-2024年凤阳县府城镇高标准农田建设项目（二标段）.xlsx</t>
  </si>
  <si>
    <t>凤阳县2024年高标准农田建设及大托管项目-2024年凤阳县枣巷镇高标准农田建设项目(六标段)</t>
  </si>
  <si>
    <t>四川杰欣建筑工程有限公司</t>
  </si>
  <si>
    <t>河南美肯建设工程有限公司</t>
  </si>
  <si>
    <t>5.六标段评标情况一览表.xlsx</t>
  </si>
  <si>
    <t>5.凤阳县2024年高标准农田建设及大托管项目-2024年凤阳县枣巷镇高标准农田建设项目(六标段).xlsx</t>
  </si>
  <si>
    <t>2024年度天长市高标准农田（中央补助）建设项目-大通镇大通村集体股份经济合作社项目</t>
  </si>
  <si>
    <t>天长市大通镇大通村集体股份经济合作社</t>
  </si>
  <si>
    <t>安徽恒豪建筑安装工程有限公司</t>
  </si>
  <si>
    <t>安徽地杰建设工程有限公司</t>
  </si>
  <si>
    <t>滁州市正启建筑安装工程有限公司</t>
  </si>
  <si>
    <t>1.评标情况一览表(4).xlsx</t>
  </si>
  <si>
    <t>1.招标文件正文 (1)(3).pdf</t>
  </si>
  <si>
    <t>1.2024年度天长市高标准农田（中央补助）建设项目-大通镇大通村集体股份经济合作社项目.xlsx</t>
  </si>
  <si>
    <t>2024年天长市大通镇便益社区高标准农田建设项目（2024年天长市高标准农田建设项目（第二批）三标段）</t>
  </si>
  <si>
    <t>婺源县水利水电建筑工程有限公司</t>
  </si>
  <si>
    <t>安徽滨构建筑工程有限公司</t>
  </si>
  <si>
    <t>牵头方：安徽驷骏建筑工程有限公司
协办方：齐力建设集团有限公司</t>
  </si>
  <si>
    <t>2.评标情况一览表(3).xlsx</t>
  </si>
  <si>
    <t>2.招标文件正文 (1)(4).pdf</t>
  </si>
  <si>
    <t>2.2024年天长市大通镇便益社区高标准农田建设项目（2024年天长市高标准农田建设项目（第二批）三标段）.xlsx</t>
  </si>
  <si>
    <t>2024年天长市石梁镇高标准农田建设项目（2024年天长市高标准农田建设项目（第二批）二标段）</t>
  </si>
  <si>
    <t>安徽东江鸿业建设工程有限公司</t>
  </si>
  <si>
    <t>福建省红日水利水电工程有限公司</t>
  </si>
  <si>
    <t>湖南中信水电建设有限公司</t>
  </si>
  <si>
    <t>3.评标情况一览表(3).xlsx</t>
  </si>
  <si>
    <t>3.招标文件正文 (1)(4).pdf</t>
  </si>
  <si>
    <t>3.2024年天长市石梁镇高标准农田建设项目（2024年天长市高标准农田建设项目（第二批）二标段）.xlsx</t>
  </si>
  <si>
    <t>2024年天长市汊涧镇高标准农田建设项目（2024年天长市高标准农田建设项目（第二批）五标段）</t>
  </si>
  <si>
    <t>牵头方：安徽长禧建设发展有限公司
协办方：江西力驰建设集团有限公司</t>
  </si>
  <si>
    <t>牵头方：安徽桐祎建设有限公司
协办方：广东祥实建设有限公司</t>
  </si>
  <si>
    <t>牵头方：安徽圣跃建设工程有限公司
协办方：江苏水工建设集团有限公司</t>
  </si>
  <si>
    <t>4.评标情况一览表(3).xlsx</t>
  </si>
  <si>
    <t>4.招标文件正文 (1)(4).pdf</t>
  </si>
  <si>
    <t>4.2024年天长市汊涧镇高标准农田建设项目（2024年天长市高标准农田建设项目（第二批）五标段）.xlsx</t>
  </si>
  <si>
    <t>2024年天长市张铺镇高标准农田建设项目（2024年天长市高标准农田建设项目（第二批）一标段）</t>
  </si>
  <si>
    <t>安徽皖公山项目管理有限公司</t>
  </si>
  <si>
    <t>淮北卓越市政工程有限责任公司</t>
  </si>
  <si>
    <t>5.评标情况一览表(5).xlsx</t>
  </si>
  <si>
    <t>6.招标文件正文(7).pdf</t>
  </si>
  <si>
    <t>6.2024年天长市秦栏镇高标准农田建设项目（2024年天长市高标准农田建设项目（第二批）四标段）(1).xlsx</t>
  </si>
  <si>
    <t>2024年天长市秦栏镇高标准农田建设项目（2024年天长市高标准农田建设项目（第二批）四标段）</t>
  </si>
  <si>
    <t>安徽省于湖环境建设工程有限公司</t>
  </si>
  <si>
    <t>旭航建设有限公司</t>
  </si>
  <si>
    <t>6.评标情况一览表(3).xlsx</t>
  </si>
  <si>
    <t>6.招标文件正文(6).pdf</t>
  </si>
  <si>
    <t>6.2024年天长市秦栏镇高标准农田建设项目（2024年天长市高标准农田建设项目（第二批）四标段）.xlsx</t>
  </si>
  <si>
    <t>2024年天长市高标准农田建设项目（四标段：冶山镇隐庵村）</t>
  </si>
  <si>
    <t>天长市乡村振兴促进中心</t>
  </si>
  <si>
    <t>牵头方：安徽宏志建设集团有限公司
协办方：安徽兴禹建设工程有限公司</t>
  </si>
  <si>
    <t>安徽海兴生态科技有限公司</t>
  </si>
  <si>
    <t>牵头方：芜湖建江水利建设有限责任公司
协办方：唐山燕丰工程建设有限公司</t>
  </si>
  <si>
    <t>7.评标情况一览表(4).xlsx</t>
  </si>
  <si>
    <t>7.招标文件正文(5).pdf</t>
  </si>
  <si>
    <t>7.2024年天长市高标准农田建设项目（四标段：冶山镇隐庵村）.xlsx</t>
  </si>
  <si>
    <t>2024年天长市高标准农田建设项目（六标段：铜城镇安乐社区）</t>
  </si>
  <si>
    <t>牵头方：安徽太平建筑工程有限公司
协办方：坤鑫建设集团有限公司</t>
  </si>
  <si>
    <t>牵头方：阜阳市水利机械工程有限责任公司
协办方：安徽璞石生态建设有限公司</t>
  </si>
  <si>
    <t>阜阳市颍州区水利建筑安装有限责任公司</t>
  </si>
  <si>
    <t>8.评标情况一览表(2).xlsx</t>
  </si>
  <si>
    <t>8.招标文件正文(5).pdf</t>
  </si>
  <si>
    <t>8.2024年天长市高标准农田建设项目（六标段：铜城镇安乐社区）.xlsx</t>
  </si>
  <si>
    <t>2024年天长市高标准农田建设项目（五标段：万寿镇汊河村）</t>
  </si>
  <si>
    <t>阜阳众嘉工程建设有限公司</t>
  </si>
  <si>
    <t>芜湖建江水利建设有限责任公司</t>
  </si>
  <si>
    <t>黄山市太平建筑安装工程有限公司</t>
  </si>
  <si>
    <t>9.评标情况一览表(3).xlsx</t>
  </si>
  <si>
    <t>9.招标文件正文(4).pdf</t>
  </si>
  <si>
    <t>9.2024年天长市高标准农田建设项目（五标段：万寿镇汊河村）.xlsx</t>
  </si>
  <si>
    <t>2024年天长市高标准农田建设项目（三标段：大通镇便益社区）</t>
  </si>
  <si>
    <t>凤阳县天龙水利建筑工程有限公司</t>
  </si>
  <si>
    <t>安徽太平建筑工程有限公司</t>
  </si>
  <si>
    <t>10评标情况一览表.xlsx</t>
  </si>
  <si>
    <t>10.招标文件正文(3).pdf</t>
  </si>
  <si>
    <t>10.2024年天长市高标准农田建设项目（三标段：大通镇便益社区）.xlsx</t>
  </si>
  <si>
    <t>2024年天长市高标准农田建设项目（七标段：汊涧镇汊北村</t>
  </si>
  <si>
    <t>牵头方：安徽坤耀水利建设工程有限公司
协办方：安徽达鑫建筑工程有限公司</t>
  </si>
  <si>
    <t>牵头方：安徽尧舜建设有限公司
协办方：安徽省信力建设项目管理有限公</t>
  </si>
  <si>
    <t>宣城市振华水利工程有限责任公司</t>
  </si>
  <si>
    <t>11.评标情况一览表(3).xlsx</t>
  </si>
  <si>
    <t>11.招标文件正文(3).pdf</t>
  </si>
  <si>
    <t>11.2024年天长市高标准农田建设项目（七标段：汊涧镇汊北村.xlsx</t>
  </si>
  <si>
    <t>2024年天长市高标准农田建设项目（二标段：仁和集镇王桥村）</t>
  </si>
  <si>
    <t>安徽省池州市水电工程局有限公司</t>
  </si>
  <si>
    <t>牵头方：安徽欣禹水电建筑安装有限责任公司
协办方：新政建设集团有限公司</t>
  </si>
  <si>
    <t>安徽宇盛建设工程有限公司</t>
  </si>
  <si>
    <t>12.评标情况一览表(2).xlsx</t>
  </si>
  <si>
    <t>12.招标文件正文(3).pdf</t>
  </si>
  <si>
    <t>12.2024年天长市高标准农田建设项目（二标段：仁和集镇王桥村）.xlsx</t>
  </si>
  <si>
    <t>2024年天长市高标准农田建设项目（一标段：金集镇头墩村）</t>
  </si>
  <si>
    <t>安徽巢湖水利电力建设集团有限公司</t>
  </si>
  <si>
    <t>牵头方：安徽淠源水利工程有限公司
协办方：安徽万凯建设工程有限公司</t>
  </si>
  <si>
    <t>牵头方：安徽省天成水利工程有限公司
协办方：广东祥实建设有限公司</t>
  </si>
  <si>
    <t>13.评标情况一览表(2).xlsx</t>
  </si>
  <si>
    <t>13.招标文件正文(4).pdf</t>
  </si>
  <si>
    <t>13.2024年天长市高标准农田建设项目（一标段：金集镇头墩村）.xlsx</t>
  </si>
  <si>
    <t>定远县2024年高标准农田建设项目（8标段）</t>
  </si>
  <si>
    <t>定远县农业农村局、
定远县农业发展有限责任公司</t>
  </si>
  <si>
    <t>恒泰工程咨询集团有限公司</t>
  </si>
  <si>
    <t>联合体牵头人：淮北信和水利建筑工程有限公司；联合体成员：淮北鑫淼水利工程有限公司</t>
  </si>
  <si>
    <t>1.评标情况一览表(6).xlsx</t>
  </si>
  <si>
    <t>1.招标文件正文(5).pdf</t>
  </si>
  <si>
    <t>1.定远县2024年高标准农田建设项目（8标段）.xlsx</t>
  </si>
  <si>
    <t>定远县2024年高标准农田建设项目（7标段）</t>
  </si>
  <si>
    <t>滁州皖江招标代理有限公司</t>
  </si>
  <si>
    <t>湖南盛义建设有限公司</t>
  </si>
  <si>
    <t>2.评标情况一览表(4).xlsx</t>
  </si>
  <si>
    <t>2.招标文件正文(5).pdf</t>
  </si>
  <si>
    <t>2.定远县2024年高标准农田建设项目（7标段）.xlsx</t>
  </si>
  <si>
    <t>定远县2024年高标准农田建设项目（11标段）</t>
  </si>
  <si>
    <t>光华建设集团有限公司</t>
  </si>
  <si>
    <t>3.评标情况一览表(4).xlsx</t>
  </si>
  <si>
    <t>3.招标文件正文(5).pdf</t>
  </si>
  <si>
    <t>3.定远县2024年高标准农田建设项目（11标段）.xlsx</t>
  </si>
  <si>
    <t>定远县 2024 年高标准农田建设项目（10 标段）</t>
  </si>
  <si>
    <t>浙江金穗工程项目管理有限公司</t>
  </si>
  <si>
    <t>合肥兴水建筑水电安装工程有限公司</t>
  </si>
  <si>
    <t>4.评标情况一览表(4).xlsx</t>
  </si>
  <si>
    <t>4.招标文件正文(5).pdf</t>
  </si>
  <si>
    <t>4.定远县 2024 年高标准农田建设项目（10 标段）.xlsx</t>
  </si>
  <si>
    <t>定远县2024年高标准农田建设项目（13标段）</t>
  </si>
  <si>
    <t>安徽天瑞工程咨询有限公司</t>
  </si>
  <si>
    <t>鲁兴欣盛水务科技有限公司</t>
  </si>
  <si>
    <t>5.评标情况一览表(4).xlsx</t>
  </si>
  <si>
    <t>5.招标文件正文(5).pdf</t>
  </si>
  <si>
    <t>5.定远县2024年高标准农田建设项目（13标段）.xlsx</t>
  </si>
  <si>
    <t>定远县2024年高标准农田建设项目（9标段）</t>
  </si>
  <si>
    <t>苏州公正建设咨询房地产评估有限公司</t>
  </si>
  <si>
    <t>中水京林建设有限公司</t>
  </si>
  <si>
    <t>6.评标情况一览表(2).xlsx</t>
  </si>
  <si>
    <t>6.招标文件正文(5).pdf</t>
  </si>
  <si>
    <t>6.定远县2024年高标准农田建设项目（9标段）.xlsx</t>
  </si>
  <si>
    <t>定远县2024年高标准农田建设项目（12标段）</t>
  </si>
  <si>
    <t>安徽皖邦工程管理咨询有限公司</t>
  </si>
  <si>
    <t>山西九鼎建筑工程有限公司</t>
  </si>
  <si>
    <t>7.评标情况一览表(3).xlsx</t>
  </si>
  <si>
    <t>7.招标文件正文(4).pdf</t>
  </si>
  <si>
    <t>7.定远县2024年高标准农田建设项目（12标段）.xlsx</t>
  </si>
  <si>
    <t>定远县2024年高标准农田建设项目(第一批)1标段</t>
  </si>
  <si>
    <t>定远县农业农村局</t>
  </si>
  <si>
    <t>河北筑城工程招标咨询有限公司</t>
  </si>
  <si>
    <t>8.评标情况一览表(1).xlsx</t>
  </si>
  <si>
    <t>8.招标文件正文(4).pdf</t>
  </si>
  <si>
    <t>8.定远县2024年高标准农田建设项目(第一批)1标段.xlsx</t>
  </si>
  <si>
    <t>定远县2024年高标准农田建设项目(第一批)2标段</t>
  </si>
  <si>
    <t>重庆凯弘工程咨询有限公司</t>
  </si>
  <si>
    <t>界首市水利水电建筑安装有限公司</t>
  </si>
  <si>
    <t>9.评标情况一览表(2).xlsx</t>
  </si>
  <si>
    <t>9.招标文件正文(3).pdf</t>
  </si>
  <si>
    <t>9.定远县2024年高标准农田建设项目(第一批)2标段.xlsx</t>
  </si>
  <si>
    <t>定远县2024年高标准农田建设项目(第一批)4标段</t>
  </si>
  <si>
    <t>安徽天合工程建设咨询有限公司</t>
  </si>
  <si>
    <t>10.评标情况一览表(2).xlsx</t>
  </si>
  <si>
    <t>10.招标文件正文(2).pdf</t>
  </si>
  <si>
    <t>10.定远县2024年高标准农田建设项目(第一批)4标段.xlsx</t>
  </si>
  <si>
    <t>定远县2024年高标准农田建设项目(第一批)3标段</t>
  </si>
  <si>
    <t>淮北信和水利建筑工程有限公司</t>
  </si>
  <si>
    <t>11.评标情况一览表(2).xlsx</t>
  </si>
  <si>
    <t>11.招标文件正文(2).pdf</t>
  </si>
  <si>
    <t>11.定远县2024年高标准农田建设项目(第一批)3标段.xlsx</t>
  </si>
  <si>
    <t>定远县2024年高标准农田建设项目（第一批）6 标段</t>
  </si>
  <si>
    <t>安徽龙方工程咨询有限公司</t>
  </si>
  <si>
    <t>宣城大禹建设工程有限责任公司</t>
  </si>
  <si>
    <t>12.评标情况一览表(1).xlsx</t>
  </si>
  <si>
    <t>12.招标文件正文(2).pdf</t>
  </si>
  <si>
    <t>12.定远县2024年高标准农田建设项目（第一批）6 标段.xlsx</t>
  </si>
  <si>
    <t>定远县2024年高标准农田建设项目(第一批)5标段</t>
  </si>
  <si>
    <t>安徽南巽建设项目管理投资有限公司</t>
  </si>
  <si>
    <t>安徽安冉水利工程有限公司</t>
  </si>
  <si>
    <t>13.评标情况一览表(1).xlsx</t>
  </si>
  <si>
    <t>13.招标文件正文(3).pdf</t>
  </si>
  <si>
    <t>13.定远县2024年高标准农田建设项目(第一批)5标段(1).xlsx</t>
  </si>
  <si>
    <t>2024年全椒县高标准农田建设项目（大墅镇章辉村、章辉居委会)四标段</t>
  </si>
  <si>
    <t>安徽垣茂建筑工程有限公司</t>
  </si>
  <si>
    <t>牵头方：安徽鸿之越建设工程有限公司
成员方：安徽天晟建设工程有限公司</t>
  </si>
  <si>
    <t>1.评标情况一览表(3).xlsx</t>
  </si>
  <si>
    <t>1.招标文件正文(3).pdf</t>
  </si>
  <si>
    <t>1.2024年全椒县高标准农田建设项目（大墅镇章辉村、章辉居委会)四标段.xlsx</t>
  </si>
  <si>
    <t>2024年全椒县高标准农田建设项目(西王镇西王村)六标段</t>
  </si>
  <si>
    <t>滁州宸然工程管理服务有限公司</t>
  </si>
  <si>
    <t>巢湖市水利建设有限公司</t>
  </si>
  <si>
    <t>2.评标情况一览表(2).xlsx</t>
  </si>
  <si>
    <t>2.招标文件正文(3).pdf</t>
  </si>
  <si>
    <t>2.2024年全椒县高标准农田建设项目(西王镇西王村)六标段.xlsx</t>
  </si>
  <si>
    <t>2024年全椒县高标准农田建设项目（大墅镇章辉村、章辉居委会)三标段</t>
  </si>
  <si>
    <t>安徽益洋水利建设工程有限公司</t>
  </si>
  <si>
    <t>安徽祺祥生态科技有限公司</t>
  </si>
  <si>
    <t>马鞍山昌胜建筑安装有限公司</t>
  </si>
  <si>
    <t>3.评标情况一览表(2).xlsx</t>
  </si>
  <si>
    <t>3.招标文件正文(3).pdf</t>
  </si>
  <si>
    <t>3.2024年全椒县高标准农田建设项目（大墅镇章辉村、章辉居委会)三标段.xlsx</t>
  </si>
  <si>
    <t>2024年全椒县高标准农田建设项目（武岗镇武岗村)一标段</t>
  </si>
  <si>
    <t>牵头方：安徽璞石生态建设有限公司
成员方：凤阳县天龙水利建筑工程有限公司</t>
  </si>
  <si>
    <t>牵头人：滁州市智晟建设工程有限公司
成员方：江苏省水利建设工程有限公司</t>
  </si>
  <si>
    <t>4.评标情况一览表(2).xlsx</t>
  </si>
  <si>
    <t>4.招标文件正文(3).pdf</t>
  </si>
  <si>
    <t>4.2024年全椒县高标准农田建设项目（武岗镇武岗村)一标段.xlsx</t>
  </si>
  <si>
    <t xml:space="preserve"> 2024-05-29</t>
  </si>
  <si>
    <t>2024年全椒县高标准农田建设项目(西王镇龙山村)五标段</t>
  </si>
  <si>
    <t>安徽瑞达建筑工程有限公司（联合体成员：安徽宏志建设集团有限公司）</t>
  </si>
  <si>
    <t>安徽荣宏建筑工程有限公司（联合体成员：衡宇建设集团有限公司</t>
  </si>
  <si>
    <t>5.评标情况一览表(3).xlsx</t>
  </si>
  <si>
    <t>5.招标文件正文(3).pdf</t>
  </si>
  <si>
    <t>5.2024年全椒县高标准农田建设项目(西王镇龙山村)五标段.xlsx</t>
  </si>
  <si>
    <t>2024年全椒县高标准农田建设项目(二郎口镇太平村)二标段</t>
  </si>
  <si>
    <t>安徽创精建筑工程有限公司</t>
  </si>
  <si>
    <t>安徽时正建设工程有限公司</t>
  </si>
  <si>
    <t>6.评标情况一览表.xlsx</t>
  </si>
  <si>
    <t>6.招标文件正文(4).pdf</t>
  </si>
  <si>
    <t>6.2024年全椒县高标准农田建设项目(二郎口镇太平村)二标段.xlsx</t>
  </si>
  <si>
    <r>
      <rPr>
        <sz val="11"/>
        <color theme="1"/>
        <rFont val="宋体"/>
        <charset val="134"/>
        <scheme val="minor"/>
      </rPr>
      <t>2024-05-22</t>
    </r>
    <r>
      <rPr>
        <sz val="10.5"/>
        <color rgb="FF999999"/>
        <rFont val="Microsoft YaHei"/>
        <charset val="134"/>
      </rPr>
      <t> </t>
    </r>
  </si>
  <si>
    <t>2024年明光市高标准农田建设项目（五标段：桥头镇岗王村）</t>
  </si>
  <si>
    <t>明光市农业农村局、明光嘉恒乡村投资发展有限公司</t>
  </si>
  <si>
    <t>江苏省水利建设工程有限公司（联合体成员：安徽省鸿玮建设有限公司）</t>
  </si>
  <si>
    <t>安徽宏志建设集团有限公司（联合体成员：安徽兴禹建设工程有限公司）</t>
  </si>
  <si>
    <t>宣城市金水水利工程有限责任公司</t>
  </si>
  <si>
    <t>22.评标情况一览表.xlsx</t>
  </si>
  <si>
    <t>22.2024年明光市高标准农田建设项目（五标段：桥头镇岗王村）.xlsx</t>
  </si>
  <si>
    <t>2024年明光市高标准农田建设项目（四标段：桥头镇井王村）</t>
  </si>
  <si>
    <t>安徽同铸建设工程项目管理有限公司</t>
  </si>
  <si>
    <t>联合体牵头人：六安市水电建筑工程有限公司联合体成员：安徽共恒建设工程有限公司</t>
  </si>
  <si>
    <t>联合体牵头人：安徽兴浩建设有限公司联合体成员：安徽伟诚建设工程有限公司</t>
  </si>
  <si>
    <t>安徽淠源水利工程有限公司</t>
  </si>
  <si>
    <t>23.评标情况一览表（以此为准）.xlsx</t>
  </si>
  <si>
    <t>23.2024年明光市高标准农田建设项目（四标段：桥头镇井王村）.xlsx</t>
  </si>
  <si>
    <r>
      <rPr>
        <sz val="11"/>
        <color theme="1"/>
        <rFont val="宋体"/>
        <charset val="134"/>
        <scheme val="minor"/>
      </rPr>
      <t>2024-05-20</t>
    </r>
    <r>
      <rPr>
        <sz val="10.5"/>
        <color rgb="FF999999"/>
        <rFont val="Microsoft YaHei"/>
        <charset val="134"/>
      </rPr>
      <t> </t>
    </r>
  </si>
  <si>
    <t>2024年明光市高标准农田建设项目（三标段：明西街道蔡岗村）</t>
  </si>
  <si>
    <t>亳州市水利建设工程有限公司</t>
  </si>
  <si>
    <t>安徽安冉水利工程有限公司（联合体成员：安徽嘉玮建设有限公司）</t>
  </si>
  <si>
    <t>安徽三洲水利建设有限公司（联合体成员：安徽晟烨建设项目管理有限公司）</t>
  </si>
  <si>
    <t>24.评标情况一览表.xlsx</t>
  </si>
  <si>
    <t>24.2024年明光市高标准农田建设项目（三标段：明西街道蔡岗村）.xlsx</t>
  </si>
  <si>
    <t>2024年明光市高标准农田建设项目（二标段：泊岗乡泊岗村）</t>
  </si>
  <si>
    <t>安徽千乘项目管理有限公司</t>
  </si>
  <si>
    <t>安徽泰润市政园林建设有限公司</t>
  </si>
  <si>
    <t>安徽禹浩建筑工程有限公司</t>
  </si>
  <si>
    <t>芜湖市籍山建设工程有限责任公司</t>
  </si>
  <si>
    <t>25.评标情况一览表.xlsx</t>
  </si>
  <si>
    <t>25.2024年明光市高标准农田建设项目（二标段：泊岗乡泊岗村）.xlsx</t>
  </si>
  <si>
    <t>2024年明光市高标准农田建设项目（一标段：石坝镇王桥村）</t>
  </si>
  <si>
    <t>安徽长林建设工程有限公司</t>
  </si>
  <si>
    <t>四达路桥工程有限公司</t>
  </si>
  <si>
    <t>26.评标情况一览表.xlsx</t>
  </si>
  <si>
    <t>26.2024年明光市高标准农田建设项目（一标段：石坝镇王桥村）.xlsx</t>
  </si>
  <si>
    <t>2024年来安县高标准农田建设项目九标段（新安镇双塘村）</t>
  </si>
  <si>
    <t>来安县农业农村局</t>
  </si>
  <si>
    <t>安徽圣合建设工程有限公司</t>
  </si>
  <si>
    <t>安徽河畅建筑工程有限公司</t>
  </si>
  <si>
    <t>衡水亚东水电工程有限公司</t>
  </si>
  <si>
    <t>1.评标情况一览表(5).xlsx</t>
  </si>
  <si>
    <t>1.招标文件正文(4).pdf</t>
  </si>
  <si>
    <t>1.2024年来安县高标准农田建设项目九标段（新安镇双塘村）.xlsx</t>
  </si>
  <si>
    <t>2024年来安县高标准农田建设项目八标段（新安镇七里社区）</t>
  </si>
  <si>
    <t>安徽汕森园林绿化工程有限公司</t>
  </si>
  <si>
    <t>安徽荣伟建设工程有限公司</t>
  </si>
  <si>
    <t>安徽云翔水利建设工程有限公司</t>
  </si>
  <si>
    <t>2.2024年来安县高标准农田建设项目八标段（新安镇七里社区）-评标情况一览表(1).xlsx</t>
  </si>
  <si>
    <t>2.招标文件正文(4).pdf</t>
  </si>
  <si>
    <t>2.2024年来安县高标准农田建设项目八标段（新安镇七里社区）.xlsx</t>
  </si>
  <si>
    <t>2024年来安县高标准农田建设项目一标段（半塔镇大余郢村）</t>
  </si>
  <si>
    <t>来安县农业农村局、来安乡投农业发展集团有限公司</t>
  </si>
  <si>
    <t>衡宇建设集团有限公司</t>
  </si>
  <si>
    <t>联合体牵头人：马鞍山昌胜建筑安装有限公司
联合体成员：陕西远景工程有限公司</t>
  </si>
  <si>
    <t>3.评标情况一览表(1).pdf</t>
  </si>
  <si>
    <t>3.招标文件正文(4).pdf</t>
  </si>
  <si>
    <t>3.2024年来安县高标准农田建设项目一标段（半塔镇大余郢村）.xlsx</t>
  </si>
  <si>
    <t>2024年来安县高标准农田建设项目二标段（半塔镇白云村）</t>
  </si>
  <si>
    <t>4.白云村-评标情况一览表(1).xlsx</t>
  </si>
  <si>
    <t>4.招标文件正文(4).pdf</t>
  </si>
  <si>
    <t>4.2024年来安县高标准农田建设项目二标段（半塔镇白云村）.xlsx</t>
  </si>
  <si>
    <t>2024年来安县高标准农田建设项目三标段（张山镇倒桥村）</t>
  </si>
  <si>
    <t xml:space="preserve"> 
来安县农业农村局、来安乡投农业发展集团有限公司</t>
  </si>
  <si>
    <t>联合体牵头人：枞阳县水利建筑安装工程有限责任公司
联合体成员：安徽舜安建设工程有限公司</t>
  </si>
  <si>
    <t>5.三标段评标情况一览表.pdf</t>
  </si>
  <si>
    <t>5.招标文件正文(4).pdf</t>
  </si>
  <si>
    <t>5.2024年来安县高标准农田建设项目三标段（张山镇倒桥村）.xlsx</t>
  </si>
  <si>
    <t>2024年来安县高标准农田建设项目四标段（张山镇张山村）</t>
  </si>
  <si>
    <t>淮北市大唐水利建设有限公司</t>
  </si>
  <si>
    <t>安徽鑫汇水利电力工程有限责任公司</t>
  </si>
  <si>
    <t>联合体牵头人：安徽瑞丰工程科技集团有限公司
联合体成员：安徽广荣建设工程有限公司</t>
  </si>
  <si>
    <t>6.张山镇张山村评标情况一览表(1).xlsx</t>
  </si>
  <si>
    <t>6.招标文件正文 (1)(4).pdf</t>
  </si>
  <si>
    <t>6.2024年来安县高标准农田建设项目四标段（张山镇张山村）.xlsx</t>
  </si>
  <si>
    <t>2024年来安县高标准农田建设项目五标段（三城镇河口村）</t>
  </si>
  <si>
    <t xml:space="preserve"> 
合肥兴水建筑水电安装工程有限公司</t>
  </si>
  <si>
    <t>联合体牵头人：安徽省池州市水电工程局有限公司
联合体成员：安徽茨凌建筑工程有限公司</t>
  </si>
  <si>
    <t>7.五标段评标情况一览表.pdf</t>
  </si>
  <si>
    <t>7.招标文件正文(3).pdf</t>
  </si>
  <si>
    <t>7.2024年来安县高标准农田建设项目五标段（三城镇河口村）.xlsx</t>
  </si>
  <si>
    <t>2024年来安县高标准农田建设项目六标段（独山镇青龙村）</t>
  </si>
  <si>
    <t>安徽谦源项目管理有限公司（牵头）
天长市水电建筑安装工程公司（成员）联合体</t>
  </si>
  <si>
    <t>宣城大禹建设工程有限责任公司（牵头）
江西赣禹工程建设有限公司（成员）联合体</t>
  </si>
  <si>
    <t>安徽毓泰建筑工程有限公司（牵头）
溧阳市水利市政建筑有限公司（成员）联合体</t>
  </si>
  <si>
    <t>8.评标情况一览表(1).pdf</t>
  </si>
  <si>
    <t>8.招标文件正文(3).pdf</t>
  </si>
  <si>
    <t>8.2024年来安县高标准农田建设项目六标段（独山镇青龙村）.xlsx</t>
  </si>
  <si>
    <t>2024年来安县高标准农田建设项目七标段（水口镇枣林村）</t>
  </si>
  <si>
    <t>安徽恒扬建筑工程有限公司（牵头）
厦门安能建设有限公司（成员）联合体</t>
  </si>
  <si>
    <t>安徽省池州市水电工程局有限公司（牵头）
正航水利集团有限公司（成员）联合体</t>
  </si>
  <si>
    <t>9.评标情况一览表(1).pdf</t>
  </si>
  <si>
    <t>9.招标文件正文(2).pdf</t>
  </si>
  <si>
    <t>9.2024年来安县高标准农田建设项目七标段（水口镇枣林村）.xlsx</t>
  </si>
  <si>
    <r>
      <rPr>
        <sz val="11"/>
        <color theme="1"/>
        <rFont val="宋体"/>
        <charset val="134"/>
        <scheme val="minor"/>
      </rPr>
      <t>2024-10-16</t>
    </r>
    <r>
      <rPr>
        <sz val="10.5"/>
        <color rgb="FF999999"/>
        <rFont val="Microsoft YaHei"/>
        <charset val="134"/>
      </rPr>
      <t> </t>
    </r>
  </si>
  <si>
    <t>2024年南谯区珠龙镇陈王村高标准农田建设项目（2024年南谯区高标准农田建设六标段）</t>
  </si>
  <si>
    <t>滁州市南谯区农业农村局</t>
  </si>
  <si>
    <t>安徽众望项目管理有限公司</t>
  </si>
  <si>
    <t>安徽利萧建设工程有限公司</t>
  </si>
  <si>
    <t>安徽省欣泰建设管理有限公司</t>
  </si>
  <si>
    <t>安徽展路建设有限公司</t>
  </si>
  <si>
    <t>8.招标文件正文 (1).pdf</t>
  </si>
  <si>
    <t>8.2024年南谯区珠龙镇陈王村高标准农田建设项目（2024年南谯区高标准农田建设六标段）.xlsx</t>
  </si>
  <si>
    <t>2024年南谯区珠龙镇广卫村高标准农田建设项目（2024年南谯区高标准农田建设五标段）</t>
  </si>
  <si>
    <t>滁州长昊工程咨询有限公司</t>
  </si>
  <si>
    <t>安徽宣岩建筑工程有限公司</t>
  </si>
  <si>
    <t>安徽苇润生态科技有限公司</t>
  </si>
  <si>
    <t>安徽沃顿建筑工程有限公司</t>
  </si>
  <si>
    <t>9.广卫-评标情况一览表.xlsx</t>
  </si>
  <si>
    <t>9.招标文件正文 (1).pdf</t>
  </si>
  <si>
    <t>9.2024年南谯区珠龙镇广卫村高标准农田建设项目（2024年南谯区高标准农田建设五标段）.xlsx</t>
  </si>
  <si>
    <r>
      <rPr>
        <sz val="11"/>
        <color theme="1"/>
        <rFont val="宋体"/>
        <charset val="134"/>
        <scheme val="minor"/>
      </rPr>
      <t>2024-04-12</t>
    </r>
    <r>
      <rPr>
        <sz val="10.5"/>
        <color rgb="FF999999"/>
        <rFont val="Microsoft YaHei"/>
        <charset val="134"/>
      </rPr>
      <t> </t>
    </r>
  </si>
  <si>
    <t>2024年南谯区高标准农田建设项目1标段</t>
  </si>
  <si>
    <t>滁州青山工程咨询有限公司</t>
  </si>
  <si>
    <t>牵头人：安徽川禹建设工程有限公司成员方：新政建设集团有限公司</t>
  </si>
  <si>
    <t>蚌埠市江河水利工程建设有限责任公司</t>
  </si>
  <si>
    <t>10.评标情况一览表一标段(1).xlsx</t>
  </si>
  <si>
    <t>10.招标文件正文 (1).pdf</t>
  </si>
  <si>
    <t>10.2024年南谯区高标准农田建设项目1标段(1).xlsx</t>
  </si>
  <si>
    <t>2024年南谯区高标准农田建设项目2标段</t>
  </si>
  <si>
    <t>安徽毓泰建筑工程有限公司</t>
  </si>
  <si>
    <t>牵头人：安徽谦源项目管理有限公司成员方：天长市水电建筑安装工程公司</t>
  </si>
  <si>
    <t>11.评标情况一览表二标段.xlsx</t>
  </si>
  <si>
    <t>11.招标文件正文 (1).pdf</t>
  </si>
  <si>
    <t>11.2024年南谯区高标准农田建设项目2标段.xlsx</t>
  </si>
  <si>
    <t>2024年南谯区高标准农田建设项目3标段</t>
  </si>
  <si>
    <t>安徽省创晟建设工程有限公司</t>
  </si>
  <si>
    <t>安徽宏达建设发展有限公司</t>
  </si>
  <si>
    <t>河南东雄建筑工程有限公司</t>
  </si>
  <si>
    <t>12.评标情况一览表三标段.xlsx</t>
  </si>
  <si>
    <t>12.2024年南谯区高标准农田建设项目3标段.xlsx</t>
  </si>
  <si>
    <t>凤阳县乡村振兴土地提质增效项目-2025年凤阳县黄湾乡高标准农田建设项目</t>
  </si>
  <si>
    <t>大成工程咨询有限公司</t>
  </si>
  <si>
    <t>新疆北方建设集团有限公司</t>
  </si>
  <si>
    <t>13.凤阳县乡村振兴土地提质增效项目-2025年凤阳县黄湾乡高标准农田建设项目.xlsx</t>
  </si>
  <si>
    <r>
      <rPr>
        <sz val="11"/>
        <color theme="1"/>
        <rFont val="宋体"/>
        <charset val="134"/>
        <scheme val="minor"/>
      </rPr>
      <t>2024-10-18</t>
    </r>
    <r>
      <rPr>
        <sz val="10.5"/>
        <color rgb="FF999999"/>
        <rFont val="Microsoft YaHei"/>
        <charset val="134"/>
      </rPr>
      <t> </t>
    </r>
  </si>
  <si>
    <t>凤阳县2024年高标准农田建设及大托管项目-2024年凤阳县红心镇高标准农田建设项目(三标段)</t>
  </si>
  <si>
    <r>
      <rPr>
        <sz val="11"/>
        <color theme="1"/>
        <rFont val="宋体"/>
        <charset val="134"/>
        <scheme val="minor"/>
      </rPr>
      <t>安徽辰丰项目管理有限公司</t>
    </r>
    <r>
      <rPr>
        <sz val="12"/>
        <color rgb="FF000000"/>
        <rFont val="宋体"/>
        <charset val="134"/>
      </rPr>
      <t> </t>
    </r>
  </si>
  <si>
    <t>福建万禹建设有限公司</t>
  </si>
  <si>
    <t>14.文件正文.pdf</t>
  </si>
  <si>
    <t>14.凤阳县2024年高标准农田建设及大托管项目-2024年凤阳县红心镇高标准农田建设项目(三标段).xlsx</t>
  </si>
  <si>
    <t>凤阳县2024年高标准农田建设及大托管项目-2024年凤阳县大庙镇周圩村高标准农田建设项目(七标段)</t>
  </si>
  <si>
    <t>河南省旭创水利工程有限公司</t>
  </si>
  <si>
    <t>15.评标情况一览表.xlsx</t>
  </si>
  <si>
    <t>15.凤阳县2024年高标准农田建设及大托管项目-2024年凤阳县大庙镇周圩村高标准农田建设项目(七标段).xlsx</t>
  </si>
  <si>
    <t>凤阳县2024年高标准农田建设及大托管项目-2024年凤阳县官塘镇高标准农田建设项目（四标段）</t>
  </si>
  <si>
    <t>16.评标情况一览表.xlsx</t>
  </si>
  <si>
    <t>16.凤阳县2024年高标准农田建设及大托管项目-2024年凤阳县官塘镇高标准农田建设项目（四标段）.xlsx</t>
  </si>
  <si>
    <t>2024年凤阳县高标准农田建设项目（五标段：武店镇沙涧村）</t>
  </si>
  <si>
    <t>安徽隆庆工程项目管理有限公司</t>
  </si>
  <si>
    <t>安徽瑞丰工程科技集团有限公司</t>
  </si>
  <si>
    <t>17.评标情况一览表.xlsx</t>
  </si>
  <si>
    <t>17.2024年凤阳县高标准农田建设项目（五标段：武店镇沙涧村）.xlsx</t>
  </si>
  <si>
    <r>
      <rPr>
        <sz val="11"/>
        <color theme="1"/>
        <rFont val="宋体"/>
        <charset val="134"/>
        <scheme val="minor"/>
      </rPr>
      <t>2024-06-21</t>
    </r>
    <r>
      <rPr>
        <sz val="10.5"/>
        <color rgb="FF999999"/>
        <rFont val="Microsoft YaHei"/>
        <charset val="134"/>
      </rPr>
      <t> </t>
    </r>
  </si>
  <si>
    <t>2024年凤阳县高标准农田建设项目（二标段：刘府镇席岗村）</t>
  </si>
  <si>
    <t>安徽米元建设管理有限公司</t>
  </si>
  <si>
    <t>18.评标情况一览表.xlsx</t>
  </si>
  <si>
    <t>18.2024年凤阳县高标准农田建设项目（二标段：刘府镇席岗村）.xlsx</t>
  </si>
  <si>
    <r>
      <rPr>
        <sz val="11"/>
        <color theme="1"/>
        <rFont val="宋体"/>
        <charset val="134"/>
        <scheme val="minor"/>
      </rPr>
      <t>2024-06-20</t>
    </r>
    <r>
      <rPr>
        <sz val="10.5"/>
        <color rgb="FF999999"/>
        <rFont val="Microsoft YaHei"/>
        <charset val="134"/>
      </rPr>
      <t> </t>
    </r>
  </si>
  <si>
    <t>2024年凤阳县高标准农田建设项目（一标段：殷涧镇凤殷村）</t>
  </si>
  <si>
    <t>联合体牵头方：安徽垣茂建筑工程有限公司联合体成员方：安徽楚江环境建设工程有限公司</t>
  </si>
  <si>
    <t>19.评标情况一览表.xlsx</t>
  </si>
  <si>
    <t>19.招标文件正文.pdf</t>
  </si>
  <si>
    <t>19.2024年凤阳县高标准农田建设项目（一标段：殷涧镇凤殷村）.xlsx</t>
  </si>
  <si>
    <t>2024年凤阳县高标准农田建设项目（三标段：刘府镇官沟社区）</t>
  </si>
  <si>
    <t>安徽创明建设项目管理有限公司</t>
  </si>
  <si>
    <t>20.评标情况一览表.xlsx</t>
  </si>
  <si>
    <t>20.2024年凤阳县高标准农田建设项目（三标段：刘府镇官沟社区）.xlsx</t>
  </si>
  <si>
    <t>2024年凤阳县高标准农田建设项目（四标段：板桥镇板桥社区）</t>
  </si>
  <si>
    <t>联合体牵头方：安徽天河水利建筑安装工程有限公司联合体成员方：安徽展云建设有限公司</t>
  </si>
  <si>
    <t>21.评标情况一览表.xlsx</t>
  </si>
  <si>
    <t>21.招标文件正文(1).pdf</t>
  </si>
  <si>
    <t>21.2024年凤阳县高标准农田建设项目（四标段：板桥镇板桥社区）.xlsx</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</si>
</sst>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
  </numFmts>
  <fonts count="29">
    <font>
      <sz val="11"/>
      <color theme="1"/>
      <name val="宋体"/>
      <charset val="134"/>
      <scheme val="minor"/>
    </font>
    <font>
      <sz val="11"/>
      <color rgb="FFFF0000"/>
      <name val="宋体"/>
      <charset val="134"/>
      <scheme val="minor"/>
    </font>
    <font>
      <sz val="11"/>
      <name val="宋体"/>
      <charset val="134"/>
      <scheme val="minor"/>
    </font>
    <font>
      <sz val="12"/>
      <color rgb="FF000000"/>
      <name val="宋体"/>
      <charset val="134"/>
    </font>
    <font>
      <sz val="11"/>
      <color rgb="FFFF0000"/>
      <name val="宋体"/>
      <charset val="134"/>
    </font>
    <font>
      <sz val="11"/>
      <color rgb="FF000000"/>
      <name val="宋体"/>
      <charset val="134"/>
    </font>
    <font>
      <sz val="12"/>
      <color rgb="FF333333"/>
      <name val="宋体"/>
      <charset val="134"/>
    </font>
    <font>
      <u/>
      <sz val="11"/>
      <color rgb="FF800080"/>
      <name val="宋体"/>
      <charset val="0"/>
      <scheme val="minor"/>
    </font>
    <font>
      <u/>
      <sz val="11"/>
      <color rgb="FF0000FF"/>
      <name val="宋体"/>
      <charset val="0"/>
      <scheme val="minor"/>
    </font>
    <font>
      <sz val="11"/>
      <color theme="1"/>
      <name val="宋体"/>
      <charset val="134"/>
    </font>
    <font>
      <u/>
      <sz val="11"/>
      <color rgb="FFFF000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999999"/>
      <name val="Microsoft YaHe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47">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10" fontId="0" fillId="0" borderId="0" xfId="0" applyNumberFormat="1">
      <alignment vertical="center"/>
    </xf>
    <xf numFmtId="0" fontId="1" fillId="0" borderId="0" xfId="0" applyFont="1" applyAlignment="1">
      <alignment horizontal="center" vertical="center" wrapText="1"/>
    </xf>
    <xf numFmtId="14" fontId="0" fillId="0" borderId="0" xfId="0" applyNumberFormat="1" applyAlignment="1">
      <alignment horizontal="center" vertical="center" wrapText="1"/>
    </xf>
    <xf numFmtId="14" fontId="0" fillId="0" borderId="0" xfId="0" applyNumberFormat="1">
      <alignment vertical="center"/>
    </xf>
    <xf numFmtId="14" fontId="0" fillId="0" borderId="0" xfId="0" applyNumberFormat="1" applyAlignment="1">
      <alignment vertical="center" wrapText="1"/>
    </xf>
    <xf numFmtId="0" fontId="2" fillId="0" borderId="0" xfId="0" applyFont="1" applyAlignment="1">
      <alignment horizontal="center" vertical="center" wrapText="1"/>
    </xf>
    <xf numFmtId="176" fontId="0" fillId="0" borderId="0" xfId="0" applyNumberFormat="1" applyAlignment="1">
      <alignment horizontal="center" vertical="center" wrapText="1"/>
    </xf>
    <xf numFmtId="0" fontId="3" fillId="0" borderId="0" xfId="0" applyFont="1" applyAlignment="1">
      <alignment horizontal="center" vertical="center"/>
    </xf>
    <xf numFmtId="0" fontId="3" fillId="0" borderId="0" xfId="0" applyFont="1">
      <alignment vertical="center"/>
    </xf>
    <xf numFmtId="0" fontId="4" fillId="0" borderId="0" xfId="0" applyFont="1">
      <alignment vertical="center"/>
    </xf>
    <xf numFmtId="10" fontId="1" fillId="0" borderId="0" xfId="3" applyNumberFormat="1" applyFont="1" applyAlignment="1">
      <alignment horizontal="center" vertical="center" wrapText="1"/>
    </xf>
    <xf numFmtId="10" fontId="0" fillId="0" borderId="0" xfId="0" applyNumberFormat="1" applyAlignment="1">
      <alignment horizontal="center" vertical="center" wrapText="1"/>
    </xf>
    <xf numFmtId="0" fontId="0" fillId="0" borderId="0" xfId="0" applyFont="1" applyAlignment="1">
      <alignment horizontal="center" vertical="center" wrapText="1"/>
    </xf>
    <xf numFmtId="10"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176" fontId="0" fillId="0" borderId="0" xfId="0" applyNumberFormat="1" applyAlignment="1">
      <alignment vertical="center" wrapText="1"/>
    </xf>
    <xf numFmtId="176" fontId="0" fillId="0" borderId="0" xfId="0" applyNumberFormat="1" applyAlignment="1">
      <alignment horizontal="center" vertical="center"/>
    </xf>
    <xf numFmtId="0" fontId="5" fillId="0" borderId="0" xfId="0" applyFont="1" applyAlignment="1">
      <alignment vertical="center" wrapText="1"/>
    </xf>
    <xf numFmtId="176" fontId="0" fillId="0" borderId="0" xfId="0" applyNumberFormat="1">
      <alignment vertical="center"/>
    </xf>
    <xf numFmtId="0" fontId="6" fillId="0" borderId="0" xfId="0" applyFont="1">
      <alignment vertical="center"/>
    </xf>
    <xf numFmtId="0" fontId="3" fillId="0" borderId="0" xfId="0" applyFont="1" applyAlignment="1">
      <alignment vertical="center" wrapText="1"/>
    </xf>
    <xf numFmtId="0" fontId="5" fillId="0" borderId="0" xfId="0" applyFont="1">
      <alignment vertical="center"/>
    </xf>
    <xf numFmtId="0" fontId="6" fillId="0" borderId="0" xfId="0" applyFont="1" applyAlignment="1">
      <alignment horizontal="center" vertical="center"/>
    </xf>
    <xf numFmtId="0" fontId="5" fillId="0" borderId="0" xfId="0" applyFont="1" applyAlignment="1">
      <alignment horizontal="center" vertical="center" wrapText="1"/>
    </xf>
    <xf numFmtId="0" fontId="3" fillId="0" borderId="0" xfId="0" applyFont="1" applyAlignment="1">
      <alignment horizontal="center" vertical="center" wrapText="1"/>
    </xf>
    <xf numFmtId="9" fontId="0" fillId="0" borderId="0" xfId="0" applyNumberFormat="1" applyAlignment="1">
      <alignment horizontal="center" vertical="center" wrapText="1"/>
    </xf>
    <xf numFmtId="177" fontId="0" fillId="0" borderId="0" xfId="3" applyNumberFormat="1" applyAlignment="1">
      <alignment horizontal="center" vertical="center" wrapText="1"/>
    </xf>
    <xf numFmtId="10" fontId="0" fillId="0" borderId="0" xfId="3" applyNumberFormat="1" applyAlignment="1">
      <alignment horizontal="center" vertical="center" wrapText="1"/>
    </xf>
    <xf numFmtId="0" fontId="7" fillId="0" borderId="0" xfId="6" applyFont="1" applyAlignment="1">
      <alignment horizontal="center" vertical="center" wrapText="1"/>
    </xf>
    <xf numFmtId="0" fontId="8" fillId="0" borderId="0" xfId="6" applyAlignment="1">
      <alignment horizontal="center" vertical="center" wrapText="1"/>
    </xf>
    <xf numFmtId="0" fontId="6" fillId="0" borderId="0" xfId="0" applyFont="1" applyAlignment="1">
      <alignment horizontal="center" vertical="center" wrapText="1"/>
    </xf>
    <xf numFmtId="14" fontId="9" fillId="0" borderId="0" xfId="0" applyNumberFormat="1" applyFont="1">
      <alignment vertical="center"/>
    </xf>
    <xf numFmtId="0" fontId="1" fillId="0" borderId="0" xfId="0" applyFont="1" applyAlignment="1">
      <alignment horizontal="center" vertical="center"/>
    </xf>
    <xf numFmtId="14"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5" fillId="0" borderId="0" xfId="0" applyFont="1" applyAlignment="1">
      <alignment horizontal="center" vertical="center"/>
    </xf>
    <xf numFmtId="176" fontId="1" fillId="0" borderId="0" xfId="0" applyNumberFormat="1" applyFont="1" applyAlignment="1">
      <alignment horizontal="center" vertical="center" wrapText="1"/>
    </xf>
    <xf numFmtId="10" fontId="1" fillId="0" borderId="0" xfId="0" applyNumberFormat="1" applyFont="1" applyAlignment="1">
      <alignment horizontal="center" vertical="center" wrapText="1"/>
    </xf>
    <xf numFmtId="9" fontId="0" fillId="0" borderId="0" xfId="0" applyNumberFormat="1" applyAlignment="1">
      <alignment horizontal="center" vertical="center"/>
    </xf>
    <xf numFmtId="0" fontId="8" fillId="0" borderId="0" xfId="6" applyAlignment="1">
      <alignment vertical="center" wrapText="1"/>
    </xf>
    <xf numFmtId="0" fontId="10" fillId="0" borderId="0" xfId="6" applyFont="1" applyAlignment="1">
      <alignment horizontal="center" vertical="center" wrapText="1"/>
    </xf>
    <xf numFmtId="0" fontId="0" fillId="0" borderId="0" xfId="0"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kdocs.cn/l/cpNVsDF59gnu" TargetMode="External"/><Relationship Id="rId98" Type="http://schemas.openxmlformats.org/officeDocument/2006/relationships/hyperlink" Target="https://kdocs.cn/l/cni6Je5Uryl2" TargetMode="External"/><Relationship Id="rId97" Type="http://schemas.openxmlformats.org/officeDocument/2006/relationships/hyperlink" Target="https://kdocs.cn/l/cvTB9VFn8fjz" TargetMode="External"/><Relationship Id="rId96" Type="http://schemas.openxmlformats.org/officeDocument/2006/relationships/hyperlink" Target="https://kdocs.cn/l/cexT76HClx0z" TargetMode="External"/><Relationship Id="rId95" Type="http://schemas.openxmlformats.org/officeDocument/2006/relationships/hyperlink" Target="https://kdocs.cn/l/cgA3zkl48rtZ" TargetMode="External"/><Relationship Id="rId94" Type="http://schemas.openxmlformats.org/officeDocument/2006/relationships/hyperlink" Target="https://kdocs.cn/l/caFPL7TANPoo" TargetMode="External"/><Relationship Id="rId93" Type="http://schemas.openxmlformats.org/officeDocument/2006/relationships/hyperlink" Target="https://kdocs.cn/l/camVTmUYuWtF" TargetMode="External"/><Relationship Id="rId92" Type="http://schemas.openxmlformats.org/officeDocument/2006/relationships/hyperlink" Target="https://kdocs.cn/l/ci5hSplyNLM2" TargetMode="External"/><Relationship Id="rId91" Type="http://schemas.openxmlformats.org/officeDocument/2006/relationships/hyperlink" Target="https://kdocs.cn/l/ctMT6m0YMH8V" TargetMode="External"/><Relationship Id="rId90" Type="http://schemas.openxmlformats.org/officeDocument/2006/relationships/hyperlink" Target="https://kdocs.cn/l/cqxsHqsgtmuL" TargetMode="External"/><Relationship Id="rId9" Type="http://schemas.openxmlformats.org/officeDocument/2006/relationships/hyperlink" Target="https://kdocs.cn/l/cvE2Nrg2HKpM" TargetMode="External"/><Relationship Id="rId89" Type="http://schemas.openxmlformats.org/officeDocument/2006/relationships/hyperlink" Target="https://kdocs.cn/l/cdfVMaGP5adI" TargetMode="External"/><Relationship Id="rId88" Type="http://schemas.openxmlformats.org/officeDocument/2006/relationships/hyperlink" Target="https://kdocs.cn/l/cspoExJ888Kx" TargetMode="External"/><Relationship Id="rId87" Type="http://schemas.openxmlformats.org/officeDocument/2006/relationships/hyperlink" Target="https://kdocs.cn/l/cjL99X6JKPtE" TargetMode="External"/><Relationship Id="rId86" Type="http://schemas.openxmlformats.org/officeDocument/2006/relationships/hyperlink" Target="https://kdocs.cn/l/cpqgu84jALNC" TargetMode="External"/><Relationship Id="rId85" Type="http://schemas.openxmlformats.org/officeDocument/2006/relationships/hyperlink" Target="https://kdocs.cn/l/cpkSGcqAkTRY" TargetMode="External"/><Relationship Id="rId84" Type="http://schemas.openxmlformats.org/officeDocument/2006/relationships/hyperlink" Target="https://kdocs.cn/l/ccr4qPEeutJ4" TargetMode="External"/><Relationship Id="rId83" Type="http://schemas.openxmlformats.org/officeDocument/2006/relationships/hyperlink" Target="https://kdocs.cn/l/cibFK8fExQMA" TargetMode="External"/><Relationship Id="rId82" Type="http://schemas.openxmlformats.org/officeDocument/2006/relationships/hyperlink" Target="https://kdocs.cn/l/ciicWGB3ixPA" TargetMode="External"/><Relationship Id="rId81" Type="http://schemas.openxmlformats.org/officeDocument/2006/relationships/hyperlink" Target="https://kdocs.cn/l/coN3LV9NOq4g" TargetMode="External"/><Relationship Id="rId80" Type="http://schemas.openxmlformats.org/officeDocument/2006/relationships/hyperlink" Target="https://kdocs.cn/l/cdc8MwW8csY5" TargetMode="External"/><Relationship Id="rId8" Type="http://schemas.openxmlformats.org/officeDocument/2006/relationships/hyperlink" Target="https://kdocs.cn/l/cr7FNyNhJDFN" TargetMode="External"/><Relationship Id="rId79" Type="http://schemas.openxmlformats.org/officeDocument/2006/relationships/hyperlink" Target="https://kdocs.cn/l/clW7Bf77lyTr" TargetMode="External"/><Relationship Id="rId78" Type="http://schemas.openxmlformats.org/officeDocument/2006/relationships/hyperlink" Target="https://kdocs.cn/l/cr1llohm7jdq" TargetMode="External"/><Relationship Id="rId77" Type="http://schemas.openxmlformats.org/officeDocument/2006/relationships/hyperlink" Target="https://kdocs.cn/l/clQHIuhtuQqP" TargetMode="External"/><Relationship Id="rId76" Type="http://schemas.openxmlformats.org/officeDocument/2006/relationships/hyperlink" Target="https://kdocs.cn/l/csnXNyNVXbxz" TargetMode="External"/><Relationship Id="rId75" Type="http://schemas.openxmlformats.org/officeDocument/2006/relationships/hyperlink" Target="https://kdocs.cn/l/cprYVPjLNTaA" TargetMode="External"/><Relationship Id="rId74" Type="http://schemas.openxmlformats.org/officeDocument/2006/relationships/hyperlink" Target="https://kdocs.cn/l/ctHK2jHOI675" TargetMode="External"/><Relationship Id="rId73" Type="http://schemas.openxmlformats.org/officeDocument/2006/relationships/hyperlink" Target="https://kdocs.cn/l/cvPSJYgZ56Hw" TargetMode="External"/><Relationship Id="rId72" Type="http://schemas.openxmlformats.org/officeDocument/2006/relationships/hyperlink" Target="https://kdocs.cn/l/cpI8mtnDhE7d" TargetMode="External"/><Relationship Id="rId71" Type="http://schemas.openxmlformats.org/officeDocument/2006/relationships/hyperlink" Target="https://kdocs.cn/l/csymyK097HNZ" TargetMode="External"/><Relationship Id="rId70" Type="http://schemas.openxmlformats.org/officeDocument/2006/relationships/hyperlink" Target="https://kdocs.cn/l/ciozwY6F3AMp" TargetMode="External"/><Relationship Id="rId7" Type="http://schemas.openxmlformats.org/officeDocument/2006/relationships/hyperlink" Target="https://kdocs.cn/l/cr6lOZLBxSAt" TargetMode="External"/><Relationship Id="rId69" Type="http://schemas.openxmlformats.org/officeDocument/2006/relationships/hyperlink" Target="https://kdocs.cn/l/cdns5rLj8K3i" TargetMode="External"/><Relationship Id="rId68" Type="http://schemas.openxmlformats.org/officeDocument/2006/relationships/hyperlink" Target="https://kdocs.cn/l/csj6J2SVlogj" TargetMode="External"/><Relationship Id="rId67" Type="http://schemas.openxmlformats.org/officeDocument/2006/relationships/hyperlink" Target="https://kdocs.cn/l/ccQ5eRDJGuSN" TargetMode="External"/><Relationship Id="rId66" Type="http://schemas.openxmlformats.org/officeDocument/2006/relationships/hyperlink" Target="https://kdocs.cn/l/cgFB8xv0unAk" TargetMode="External"/><Relationship Id="rId65" Type="http://schemas.openxmlformats.org/officeDocument/2006/relationships/hyperlink" Target="https://kdocs.cn/l/cdwehjFGQQF4" TargetMode="External"/><Relationship Id="rId64" Type="http://schemas.openxmlformats.org/officeDocument/2006/relationships/hyperlink" Target="https://kdocs.cn/l/cfZ4C4zXARtg" TargetMode="External"/><Relationship Id="rId63" Type="http://schemas.openxmlformats.org/officeDocument/2006/relationships/hyperlink" Target="https://kdocs.cn/l/cj8i2DIdZ3O9" TargetMode="External"/><Relationship Id="rId62" Type="http://schemas.openxmlformats.org/officeDocument/2006/relationships/hyperlink" Target="https://kdocs.cn/l/cn4nlBRPGsr7" TargetMode="External"/><Relationship Id="rId613" Type="http://schemas.openxmlformats.org/officeDocument/2006/relationships/hyperlink" Target="https://www.kdocs.cn/l/ci4XzNM529tw" TargetMode="External"/><Relationship Id="rId612" Type="http://schemas.openxmlformats.org/officeDocument/2006/relationships/hyperlink" Target="https://www.kdocs.cn/l/co5KEyr6NsJX" TargetMode="External"/><Relationship Id="rId611" Type="http://schemas.openxmlformats.org/officeDocument/2006/relationships/hyperlink" Target="https://www.kdocs.cn/l/cl0mPNoKGrqK" TargetMode="External"/><Relationship Id="rId610" Type="http://schemas.openxmlformats.org/officeDocument/2006/relationships/hyperlink" Target="https://www.kdocs.cn/l/coeiuMp25FcN" TargetMode="External"/><Relationship Id="rId61" Type="http://schemas.openxmlformats.org/officeDocument/2006/relationships/hyperlink" Target="https://kdocs.cn/l/catyagAHaf5f" TargetMode="External"/><Relationship Id="rId609" Type="http://schemas.openxmlformats.org/officeDocument/2006/relationships/hyperlink" Target="https://www.kdocs.cn/l/cojq4DbLpEGk" TargetMode="External"/><Relationship Id="rId608" Type="http://schemas.openxmlformats.org/officeDocument/2006/relationships/hyperlink" Target="https://www.kdocs.cn/l/cfaYLktoxnKD" TargetMode="External"/><Relationship Id="rId607" Type="http://schemas.openxmlformats.org/officeDocument/2006/relationships/hyperlink" Target="https://www.kdocs.cn/l/cdDpi5Ja3yXR" TargetMode="External"/><Relationship Id="rId606" Type="http://schemas.openxmlformats.org/officeDocument/2006/relationships/hyperlink" Target="https://www.kdocs.cn/l/cqC1JErBObnX" TargetMode="External"/><Relationship Id="rId605" Type="http://schemas.openxmlformats.org/officeDocument/2006/relationships/hyperlink" Target="https://www.kdocs.cn/l/cf7c1tnyWLet" TargetMode="External"/><Relationship Id="rId604" Type="http://schemas.openxmlformats.org/officeDocument/2006/relationships/hyperlink" Target="https://www.kdocs.cn/l/cjkMLA1P8enm" TargetMode="External"/><Relationship Id="rId603" Type="http://schemas.openxmlformats.org/officeDocument/2006/relationships/hyperlink" Target="https://www.kdocs.cn/l/cnDoWVoAqBFX" TargetMode="External"/><Relationship Id="rId602" Type="http://schemas.openxmlformats.org/officeDocument/2006/relationships/hyperlink" Target="https://www.kdocs.cn/l/cvM2JZGkPi2o" TargetMode="External"/><Relationship Id="rId601" Type="http://schemas.openxmlformats.org/officeDocument/2006/relationships/hyperlink" Target="https://www.kdocs.cn/l/cffT3kJKLqd7" TargetMode="External"/><Relationship Id="rId600" Type="http://schemas.openxmlformats.org/officeDocument/2006/relationships/hyperlink" Target="https://www.kdocs.cn/l/cmPayZa0FZEY" TargetMode="External"/><Relationship Id="rId60" Type="http://schemas.openxmlformats.org/officeDocument/2006/relationships/hyperlink" Target="https://kdocs.cn/l/cq1wtHmG96EX" TargetMode="External"/><Relationship Id="rId6" Type="http://schemas.openxmlformats.org/officeDocument/2006/relationships/hyperlink" Target="https://kdocs.cn/l/cr5xVqOOoOEc" TargetMode="External"/><Relationship Id="rId599" Type="http://schemas.openxmlformats.org/officeDocument/2006/relationships/hyperlink" Target="https://www.kdocs.cn/l/cjbohlOCyjXv" TargetMode="External"/><Relationship Id="rId598" Type="http://schemas.openxmlformats.org/officeDocument/2006/relationships/hyperlink" Target="https://www.kdocs.cn/l/ciiFNskZ2dz2" TargetMode="External"/><Relationship Id="rId597" Type="http://schemas.openxmlformats.org/officeDocument/2006/relationships/hyperlink" Target="https://www.kdocs.cn/l/cgNeVqHx1H57" TargetMode="External"/><Relationship Id="rId596" Type="http://schemas.openxmlformats.org/officeDocument/2006/relationships/hyperlink" Target="https://www.kdocs.cn/l/ccZMvErY64w3" TargetMode="External"/><Relationship Id="rId595" Type="http://schemas.openxmlformats.org/officeDocument/2006/relationships/hyperlink" Target="https://www.kdocs.cn/l/cfCZf3pJL0LK" TargetMode="External"/><Relationship Id="rId594" Type="http://schemas.openxmlformats.org/officeDocument/2006/relationships/hyperlink" Target="https://www.kdocs.cn/l/calo2gxHwQ4W" TargetMode="External"/><Relationship Id="rId593" Type="http://schemas.openxmlformats.org/officeDocument/2006/relationships/hyperlink" Target="https://www.kdocs.cn/l/cbXro9lOFZSq" TargetMode="External"/><Relationship Id="rId592" Type="http://schemas.openxmlformats.org/officeDocument/2006/relationships/hyperlink" Target="https://www.kdocs.cn/l/cmeIm5wZrFfT" TargetMode="External"/><Relationship Id="rId591" Type="http://schemas.openxmlformats.org/officeDocument/2006/relationships/hyperlink" Target="https://www.kdocs.cn/l/crfhFhUQx9aG" TargetMode="External"/><Relationship Id="rId590" Type="http://schemas.openxmlformats.org/officeDocument/2006/relationships/hyperlink" Target="https://www.kdocs.cn/l/cuXGFSDwMjHT" TargetMode="External"/><Relationship Id="rId59" Type="http://schemas.openxmlformats.org/officeDocument/2006/relationships/hyperlink" Target="https://kdocs.cn/l/cjHGme4odmZ9" TargetMode="External"/><Relationship Id="rId589" Type="http://schemas.openxmlformats.org/officeDocument/2006/relationships/hyperlink" Target="https://www.kdocs.cn/l/cegJ5xdfJd3c" TargetMode="External"/><Relationship Id="rId588" Type="http://schemas.openxmlformats.org/officeDocument/2006/relationships/hyperlink" Target="https://www.kdocs.cn/l/cmINL9Nxsc6v" TargetMode="External"/><Relationship Id="rId587" Type="http://schemas.openxmlformats.org/officeDocument/2006/relationships/hyperlink" Target="https://www.kdocs.cn/l/cbNz5biKILgs" TargetMode="External"/><Relationship Id="rId586" Type="http://schemas.openxmlformats.org/officeDocument/2006/relationships/hyperlink" Target="https://www.kdocs.cn/l/cqZItg2GK7gM" TargetMode="External"/><Relationship Id="rId585" Type="http://schemas.openxmlformats.org/officeDocument/2006/relationships/hyperlink" Target="https://www.kdocs.cn/l/cmOwLT3gVftf" TargetMode="External"/><Relationship Id="rId584" Type="http://schemas.openxmlformats.org/officeDocument/2006/relationships/hyperlink" Target="https://www.kdocs.cn/l/cp2TM7ExLvDh" TargetMode="External"/><Relationship Id="rId583" Type="http://schemas.openxmlformats.org/officeDocument/2006/relationships/hyperlink" Target="https://www.kdocs.cn/l/cdKT4HEIXRfa" TargetMode="External"/><Relationship Id="rId582" Type="http://schemas.openxmlformats.org/officeDocument/2006/relationships/hyperlink" Target="https://www.kdocs.cn/l/cao5amCjpioN" TargetMode="External"/><Relationship Id="rId581" Type="http://schemas.openxmlformats.org/officeDocument/2006/relationships/hyperlink" Target="https://www.kdocs.cn/l/crrtHWzFPwAS" TargetMode="External"/><Relationship Id="rId580" Type="http://schemas.openxmlformats.org/officeDocument/2006/relationships/hyperlink" Target="https://www.kdocs.cn/l/cmjX6JBcwAei" TargetMode="External"/><Relationship Id="rId58" Type="http://schemas.openxmlformats.org/officeDocument/2006/relationships/hyperlink" Target="https://kdocs.cn/l/cq1UE9LCm7mk" TargetMode="External"/><Relationship Id="rId579" Type="http://schemas.openxmlformats.org/officeDocument/2006/relationships/hyperlink" Target="https://www.kdocs.cn/l/ckLgonMpElq6" TargetMode="External"/><Relationship Id="rId578" Type="http://schemas.openxmlformats.org/officeDocument/2006/relationships/hyperlink" Target="https://www.kdocs.cn/l/cmafzauuN64T" TargetMode="External"/><Relationship Id="rId577" Type="http://schemas.openxmlformats.org/officeDocument/2006/relationships/hyperlink" Target="https://www.kdocs.cn/l/ck4oeoNrywof" TargetMode="External"/><Relationship Id="rId576" Type="http://schemas.openxmlformats.org/officeDocument/2006/relationships/hyperlink" Target="https://www.kdocs.cn/l/ccCb6ivAXWUg" TargetMode="External"/><Relationship Id="rId575" Type="http://schemas.openxmlformats.org/officeDocument/2006/relationships/hyperlink" Target="https://www.kdocs.cn/l/cldbiuBPjFCL" TargetMode="External"/><Relationship Id="rId574" Type="http://schemas.openxmlformats.org/officeDocument/2006/relationships/hyperlink" Target="https://www.kdocs.cn/l/cpAsOaUs1s6A" TargetMode="External"/><Relationship Id="rId573" Type="http://schemas.openxmlformats.org/officeDocument/2006/relationships/hyperlink" Target="https://www.kdocs.cn/l/clFb8vUeqQdn" TargetMode="External"/><Relationship Id="rId572" Type="http://schemas.openxmlformats.org/officeDocument/2006/relationships/hyperlink" Target="https://www.kdocs.cn/l/cv9gy1cnyNgo" TargetMode="External"/><Relationship Id="rId571" Type="http://schemas.openxmlformats.org/officeDocument/2006/relationships/hyperlink" Target="https://www.kdocs.cn/l/cv3YQOz9n2p3" TargetMode="External"/><Relationship Id="rId570" Type="http://schemas.openxmlformats.org/officeDocument/2006/relationships/hyperlink" Target="https://www.kdocs.cn/l/cacswX152cTp" TargetMode="External"/><Relationship Id="rId57" Type="http://schemas.openxmlformats.org/officeDocument/2006/relationships/hyperlink" Target="https://kdocs.cn/l/cnyHNHQLRTF6" TargetMode="External"/><Relationship Id="rId569" Type="http://schemas.openxmlformats.org/officeDocument/2006/relationships/hyperlink" Target="https://www.kdocs.cn/l/cjgHWNbYime5" TargetMode="External"/><Relationship Id="rId568" Type="http://schemas.openxmlformats.org/officeDocument/2006/relationships/hyperlink" Target="https://www.kdocs.cn/l/cujbdStwU0CE" TargetMode="External"/><Relationship Id="rId567" Type="http://schemas.openxmlformats.org/officeDocument/2006/relationships/hyperlink" Target="https://www.kdocs.cn/l/cc5iyvsuf9bm" TargetMode="External"/><Relationship Id="rId566" Type="http://schemas.openxmlformats.org/officeDocument/2006/relationships/hyperlink" Target="https://www.kdocs.cn/l/cszcMx754xoD" TargetMode="External"/><Relationship Id="rId565" Type="http://schemas.openxmlformats.org/officeDocument/2006/relationships/hyperlink" Target="https://www.kdocs.cn/l/cfk9TPvswtSy" TargetMode="External"/><Relationship Id="rId564" Type="http://schemas.openxmlformats.org/officeDocument/2006/relationships/hyperlink" Target="https://www.kdocs.cn/l/cecW86H1igj9" TargetMode="External"/><Relationship Id="rId563" Type="http://schemas.openxmlformats.org/officeDocument/2006/relationships/hyperlink" Target="https://www.kdocs.cn/l/cvkpekwOzUpy" TargetMode="External"/><Relationship Id="rId562" Type="http://schemas.openxmlformats.org/officeDocument/2006/relationships/hyperlink" Target="https://www.kdocs.cn/l/cb5z1S2i8Qdh" TargetMode="External"/><Relationship Id="rId561" Type="http://schemas.openxmlformats.org/officeDocument/2006/relationships/hyperlink" Target="https://www.kdocs.cn/l/cmBBIpuviCie" TargetMode="External"/><Relationship Id="rId560" Type="http://schemas.openxmlformats.org/officeDocument/2006/relationships/hyperlink" Target="https://www.kdocs.cn/l/cts3P9AYbq6a" TargetMode="External"/><Relationship Id="rId56" Type="http://schemas.openxmlformats.org/officeDocument/2006/relationships/hyperlink" Target="https://kdocs.cn/l/coZXqekJL1Ad" TargetMode="External"/><Relationship Id="rId559" Type="http://schemas.openxmlformats.org/officeDocument/2006/relationships/hyperlink" Target="https://www.kdocs.cn/l/clgVCOFSktw4" TargetMode="External"/><Relationship Id="rId558" Type="http://schemas.openxmlformats.org/officeDocument/2006/relationships/hyperlink" Target="https://www.kdocs.cn/l/ctSx3VkQwKu2" TargetMode="External"/><Relationship Id="rId557" Type="http://schemas.openxmlformats.org/officeDocument/2006/relationships/hyperlink" Target="https://www.kdocs.cn/l/cuDlnUL8jFSh" TargetMode="External"/><Relationship Id="rId556" Type="http://schemas.openxmlformats.org/officeDocument/2006/relationships/hyperlink" Target="https://www.kdocs.cn/l/cmtbFRRGlNhv" TargetMode="External"/><Relationship Id="rId555" Type="http://schemas.openxmlformats.org/officeDocument/2006/relationships/hyperlink" Target="https://www.kdocs.cn/l/cv9pXpi3NOxr" TargetMode="External"/><Relationship Id="rId554" Type="http://schemas.openxmlformats.org/officeDocument/2006/relationships/hyperlink" Target="https://www.kdocs.cn/l/ckicibwhW1zJ" TargetMode="External"/><Relationship Id="rId553" Type="http://schemas.openxmlformats.org/officeDocument/2006/relationships/hyperlink" Target="https://www.kdocs.cn/l/cl0UXLWLnrDG" TargetMode="External"/><Relationship Id="rId552" Type="http://schemas.openxmlformats.org/officeDocument/2006/relationships/hyperlink" Target="https://www.kdocs.cn/l/cuqMxweWldEh" TargetMode="External"/><Relationship Id="rId551" Type="http://schemas.openxmlformats.org/officeDocument/2006/relationships/hyperlink" Target="https://www.kdocs.cn/l/cgS1MOL9xpUM" TargetMode="External"/><Relationship Id="rId550" Type="http://schemas.openxmlformats.org/officeDocument/2006/relationships/hyperlink" Target="https://www.kdocs.cn/l/cbOjdhZ8UMB4" TargetMode="External"/><Relationship Id="rId55" Type="http://schemas.openxmlformats.org/officeDocument/2006/relationships/hyperlink" Target="https://kdocs.cn/l/csxvXg09115y" TargetMode="External"/><Relationship Id="rId549" Type="http://schemas.openxmlformats.org/officeDocument/2006/relationships/hyperlink" Target="https://www.kdocs.cn/l/cctwR8qvIa70" TargetMode="External"/><Relationship Id="rId548" Type="http://schemas.openxmlformats.org/officeDocument/2006/relationships/hyperlink" Target="https://www.kdocs.cn/l/cjcKU2CLSK1Z" TargetMode="External"/><Relationship Id="rId547" Type="http://schemas.openxmlformats.org/officeDocument/2006/relationships/hyperlink" Target="https://www.kdocs.cn/l/cpo2PQs4GgBr" TargetMode="External"/><Relationship Id="rId546" Type="http://schemas.openxmlformats.org/officeDocument/2006/relationships/hyperlink" Target="https://www.kdocs.cn/l/cp2rtKIGvJBe" TargetMode="External"/><Relationship Id="rId545" Type="http://schemas.openxmlformats.org/officeDocument/2006/relationships/hyperlink" Target="https://www.kdocs.cn/l/coi54srHJyvd" TargetMode="External"/><Relationship Id="rId544" Type="http://schemas.openxmlformats.org/officeDocument/2006/relationships/hyperlink" Target="https://www.kdocs.cn/l/cednFPrAfLJA" TargetMode="External"/><Relationship Id="rId543" Type="http://schemas.openxmlformats.org/officeDocument/2006/relationships/hyperlink" Target="https://www.kdocs.cn/l/cm9554G31lLz" TargetMode="External"/><Relationship Id="rId542" Type="http://schemas.openxmlformats.org/officeDocument/2006/relationships/hyperlink" Target="https://www.kdocs.cn/l/cayMlBdYxfh7" TargetMode="External"/><Relationship Id="rId541" Type="http://schemas.openxmlformats.org/officeDocument/2006/relationships/hyperlink" Target="https://www.kdocs.cn/l/cemBkCYnkZhq" TargetMode="External"/><Relationship Id="rId540" Type="http://schemas.openxmlformats.org/officeDocument/2006/relationships/hyperlink" Target="https://www.kdocs.cn/l/cacev8STEeE0" TargetMode="External"/><Relationship Id="rId54" Type="http://schemas.openxmlformats.org/officeDocument/2006/relationships/hyperlink" Target="https://kdocs.cn/l/cm8gmEl0M4L0" TargetMode="External"/><Relationship Id="rId539" Type="http://schemas.openxmlformats.org/officeDocument/2006/relationships/hyperlink" Target="https://www.kdocs.cn/l/cjZFAbs1enu7" TargetMode="External"/><Relationship Id="rId538" Type="http://schemas.openxmlformats.org/officeDocument/2006/relationships/hyperlink" Target="https://www.kdocs.cn/l/ckuhnIBgCfK1" TargetMode="External"/><Relationship Id="rId537" Type="http://schemas.openxmlformats.org/officeDocument/2006/relationships/hyperlink" Target="https://www.kdocs.cn/l/cg4bp9OFfhH6" TargetMode="External"/><Relationship Id="rId536" Type="http://schemas.openxmlformats.org/officeDocument/2006/relationships/hyperlink" Target="https://www.kdocs.cn/l/chp6pzhNw5rF" TargetMode="External"/><Relationship Id="rId535" Type="http://schemas.openxmlformats.org/officeDocument/2006/relationships/hyperlink" Target="https://www.kdocs.cn/l/caBLd8JuYwPR" TargetMode="External"/><Relationship Id="rId534" Type="http://schemas.openxmlformats.org/officeDocument/2006/relationships/hyperlink" Target="https://www.kdocs.cn/l/coBzDdNed3QO" TargetMode="External"/><Relationship Id="rId533" Type="http://schemas.openxmlformats.org/officeDocument/2006/relationships/hyperlink" Target="https://www.kdocs.cn/l/cmIR1aqbYRdV" TargetMode="External"/><Relationship Id="rId532" Type="http://schemas.openxmlformats.org/officeDocument/2006/relationships/hyperlink" Target="https://www.kdocs.cn/l/cs50d29XSsJB" TargetMode="External"/><Relationship Id="rId531" Type="http://schemas.openxmlformats.org/officeDocument/2006/relationships/hyperlink" Target="https://www.kdocs.cn/l/cuo3oPwoUfDK" TargetMode="External"/><Relationship Id="rId530" Type="http://schemas.openxmlformats.org/officeDocument/2006/relationships/hyperlink" Target="https://www.kdocs.cn/l/cqeU5ZqfPhqZ" TargetMode="External"/><Relationship Id="rId53" Type="http://schemas.openxmlformats.org/officeDocument/2006/relationships/hyperlink" Target="https://kdocs.cn/l/cv00JRW4WxrY" TargetMode="External"/><Relationship Id="rId529" Type="http://schemas.openxmlformats.org/officeDocument/2006/relationships/hyperlink" Target="https://www.kdocs.cn/l/cqTrT2QXnwCn" TargetMode="External"/><Relationship Id="rId528" Type="http://schemas.openxmlformats.org/officeDocument/2006/relationships/hyperlink" Target="https://www.kdocs.cn/l/cgWighQBcpd7" TargetMode="External"/><Relationship Id="rId527" Type="http://schemas.openxmlformats.org/officeDocument/2006/relationships/hyperlink" Target="https://www.kdocs.cn/l/cfkWgwx3W49A" TargetMode="External"/><Relationship Id="rId526" Type="http://schemas.openxmlformats.org/officeDocument/2006/relationships/hyperlink" Target="https://www.kdocs.cn/l/ck2vXrq4hD6h" TargetMode="External"/><Relationship Id="rId525" Type="http://schemas.openxmlformats.org/officeDocument/2006/relationships/hyperlink" Target="https://www.kdocs.cn/l/cp0RnTEuhzJ1" TargetMode="External"/><Relationship Id="rId524" Type="http://schemas.openxmlformats.org/officeDocument/2006/relationships/hyperlink" Target="https://www.kdocs.cn/l/cb02dju1GyJY" TargetMode="External"/><Relationship Id="rId523" Type="http://schemas.openxmlformats.org/officeDocument/2006/relationships/hyperlink" Target="https://www.kdocs.cn/l/cdsMKoxU4Ky1" TargetMode="External"/><Relationship Id="rId522" Type="http://schemas.openxmlformats.org/officeDocument/2006/relationships/hyperlink" Target="https://www.kdocs.cn/l/cvPaVYuZeJ0T" TargetMode="External"/><Relationship Id="rId521" Type="http://schemas.openxmlformats.org/officeDocument/2006/relationships/hyperlink" Target="https://www.kdocs.cn/l/crut1v15R1Gs" TargetMode="External"/><Relationship Id="rId520" Type="http://schemas.openxmlformats.org/officeDocument/2006/relationships/hyperlink" Target="https://www.kdocs.cn/l/chaU5Tamz5TH" TargetMode="External"/><Relationship Id="rId52" Type="http://schemas.openxmlformats.org/officeDocument/2006/relationships/hyperlink" Target="https://kdocs.cn/l/ciNLI9QPsqwK" TargetMode="External"/><Relationship Id="rId519" Type="http://schemas.openxmlformats.org/officeDocument/2006/relationships/hyperlink" Target="https://www.kdocs.cn/l/cfM69lbTNAaR" TargetMode="External"/><Relationship Id="rId518" Type="http://schemas.openxmlformats.org/officeDocument/2006/relationships/hyperlink" Target="https://www.kdocs.cn/l/ckIJUf2Z6ECV" TargetMode="External"/><Relationship Id="rId517" Type="http://schemas.openxmlformats.org/officeDocument/2006/relationships/hyperlink" Target="https://www.kdocs.cn/l/ckK4oEFEqgoM" TargetMode="External"/><Relationship Id="rId516" Type="http://schemas.openxmlformats.org/officeDocument/2006/relationships/hyperlink" Target="https://www.kdocs.cn/l/cdfwCoJz5SGK" TargetMode="External"/><Relationship Id="rId515" Type="http://schemas.openxmlformats.org/officeDocument/2006/relationships/hyperlink" Target="https://www.kdocs.cn/l/cneppACkwD8q" TargetMode="External"/><Relationship Id="rId514" Type="http://schemas.openxmlformats.org/officeDocument/2006/relationships/hyperlink" Target="https://www.kdocs.cn/l/cmwWFf77TLb0" TargetMode="External"/><Relationship Id="rId513" Type="http://schemas.openxmlformats.org/officeDocument/2006/relationships/hyperlink" Target="https://www.kdocs.cn/l/cknyJnYEkWxD" TargetMode="External"/><Relationship Id="rId512" Type="http://schemas.openxmlformats.org/officeDocument/2006/relationships/hyperlink" Target="https://www.kdocs.cn/l/cmEFydsHTN6y" TargetMode="External"/><Relationship Id="rId511" Type="http://schemas.openxmlformats.org/officeDocument/2006/relationships/hyperlink" Target="https://www.kdocs.cn/l/cgvcBP5Y63O3" TargetMode="External"/><Relationship Id="rId510" Type="http://schemas.openxmlformats.org/officeDocument/2006/relationships/hyperlink" Target="https://www.kdocs.cn/l/cjqL5t94H11I" TargetMode="External"/><Relationship Id="rId51" Type="http://schemas.openxmlformats.org/officeDocument/2006/relationships/hyperlink" Target="https://kdocs.cn/l/cjloOCQev61t" TargetMode="External"/><Relationship Id="rId509" Type="http://schemas.openxmlformats.org/officeDocument/2006/relationships/hyperlink" Target="https://www.kdocs.cn/l/cuD5Il6nz7jd" TargetMode="External"/><Relationship Id="rId508" Type="http://schemas.openxmlformats.org/officeDocument/2006/relationships/hyperlink" Target="https://www.kdocs.cn/l/ccklqxWfnqVq" TargetMode="External"/><Relationship Id="rId507" Type="http://schemas.openxmlformats.org/officeDocument/2006/relationships/hyperlink" Target="https://www.kdocs.cn/l/cjLQQnrBm6un" TargetMode="External"/><Relationship Id="rId506" Type="http://schemas.openxmlformats.org/officeDocument/2006/relationships/hyperlink" Target="https://www.kdocs.cn/l/cpJtSDy57FQU" TargetMode="External"/><Relationship Id="rId505" Type="http://schemas.openxmlformats.org/officeDocument/2006/relationships/hyperlink" Target="https://www.kdocs.cn/l/cjGeNJKRCXsq" TargetMode="External"/><Relationship Id="rId504" Type="http://schemas.openxmlformats.org/officeDocument/2006/relationships/hyperlink" Target="https://www.kdocs.cn/l/csEDfKpw2z9T" TargetMode="External"/><Relationship Id="rId503" Type="http://schemas.openxmlformats.org/officeDocument/2006/relationships/hyperlink" Target="https://www.kdocs.cn/l/cqsNNJksHqmG" TargetMode="External"/><Relationship Id="rId502" Type="http://schemas.openxmlformats.org/officeDocument/2006/relationships/hyperlink" Target="https://www.kdocs.cn/l/ciiQYaMKQE7M" TargetMode="External"/><Relationship Id="rId501" Type="http://schemas.openxmlformats.org/officeDocument/2006/relationships/hyperlink" Target="https://www.kdocs.cn/l/csDwwZHGhwBJ" TargetMode="External"/><Relationship Id="rId500" Type="http://schemas.openxmlformats.org/officeDocument/2006/relationships/hyperlink" Target="https://www.kdocs.cn/l/cq1JAWmBH216" TargetMode="External"/><Relationship Id="rId50" Type="http://schemas.openxmlformats.org/officeDocument/2006/relationships/hyperlink" Target="https://kdocs.cn/l/crKnxhT3RjlN" TargetMode="External"/><Relationship Id="rId5" Type="http://schemas.openxmlformats.org/officeDocument/2006/relationships/hyperlink" Target="https://kdocs.cn/l/chp21CnT8hfq" TargetMode="External"/><Relationship Id="rId499" Type="http://schemas.openxmlformats.org/officeDocument/2006/relationships/hyperlink" Target="https://www.kdocs.cn/l/ciUsxym3eFEa" TargetMode="External"/><Relationship Id="rId498" Type="http://schemas.openxmlformats.org/officeDocument/2006/relationships/hyperlink" Target="https://www.kdocs.cn/l/ctXDNbJnVmly" TargetMode="External"/><Relationship Id="rId497" Type="http://schemas.openxmlformats.org/officeDocument/2006/relationships/hyperlink" Target="https://www.kdocs.cn/l/cexRhLk57CWa" TargetMode="External"/><Relationship Id="rId496" Type="http://schemas.openxmlformats.org/officeDocument/2006/relationships/hyperlink" Target="https://www.kdocs.cn/l/cbCGurKWkcx3" TargetMode="External"/><Relationship Id="rId495" Type="http://schemas.openxmlformats.org/officeDocument/2006/relationships/hyperlink" Target="https://www.kdocs.cn/l/cpJ9mAaZMOsb" TargetMode="External"/><Relationship Id="rId494" Type="http://schemas.openxmlformats.org/officeDocument/2006/relationships/hyperlink" Target="https://www.kdocs.cn/l/cfpQICQzqztp" TargetMode="External"/><Relationship Id="rId493" Type="http://schemas.openxmlformats.org/officeDocument/2006/relationships/hyperlink" Target="https://www.kdocs.cn/l/ctSCs5BDLpXJ" TargetMode="External"/><Relationship Id="rId492" Type="http://schemas.openxmlformats.org/officeDocument/2006/relationships/hyperlink" Target="https://www.kdocs.cn/l/crigUe7T9p7n" TargetMode="External"/><Relationship Id="rId491" Type="http://schemas.openxmlformats.org/officeDocument/2006/relationships/hyperlink" Target="https://www.kdocs.cn/l/chQ2b5p3yzbK" TargetMode="External"/><Relationship Id="rId490" Type="http://schemas.openxmlformats.org/officeDocument/2006/relationships/hyperlink" Target="https://www.kdocs.cn/l/cneNVALDLzM7" TargetMode="External"/><Relationship Id="rId49" Type="http://schemas.openxmlformats.org/officeDocument/2006/relationships/hyperlink" Target="https://kdocs.cn/l/cbbDx40YPKoh" TargetMode="External"/><Relationship Id="rId489" Type="http://schemas.openxmlformats.org/officeDocument/2006/relationships/hyperlink" Target="https://www.kdocs.cn/l/cfuK3KYEX4ry" TargetMode="External"/><Relationship Id="rId488" Type="http://schemas.openxmlformats.org/officeDocument/2006/relationships/hyperlink" Target="https://www.kdocs.cn/l/cp2xIFJQzD4f" TargetMode="External"/><Relationship Id="rId487" Type="http://schemas.openxmlformats.org/officeDocument/2006/relationships/hyperlink" Target="https://www.kdocs.cn/l/chwaX2LEpfWn" TargetMode="External"/><Relationship Id="rId486" Type="http://schemas.openxmlformats.org/officeDocument/2006/relationships/hyperlink" Target="https://www.kdocs.cn/l/citl7yrhHWBp" TargetMode="External"/><Relationship Id="rId485" Type="http://schemas.openxmlformats.org/officeDocument/2006/relationships/hyperlink" Target="https://www.kdocs.cn/l/ctNISHQa0Kql" TargetMode="External"/><Relationship Id="rId484" Type="http://schemas.openxmlformats.org/officeDocument/2006/relationships/hyperlink" Target="https://www.kdocs.cn/l/ch0D5c3PU11y" TargetMode="External"/><Relationship Id="rId483" Type="http://schemas.openxmlformats.org/officeDocument/2006/relationships/hyperlink" Target="https://www.kdocs.cn/l/csexz9zhtQIl" TargetMode="External"/><Relationship Id="rId482" Type="http://schemas.openxmlformats.org/officeDocument/2006/relationships/hyperlink" Target="https://www.kdocs.cn/l/cu1ePUFOKBSX" TargetMode="External"/><Relationship Id="rId481" Type="http://schemas.openxmlformats.org/officeDocument/2006/relationships/hyperlink" Target="https://www.kdocs.cn/l/cg2oqTHP25KZ" TargetMode="External"/><Relationship Id="rId480" Type="http://schemas.openxmlformats.org/officeDocument/2006/relationships/hyperlink" Target="https://www.kdocs.cn/l/cguQToNVQw6C" TargetMode="External"/><Relationship Id="rId48" Type="http://schemas.openxmlformats.org/officeDocument/2006/relationships/hyperlink" Target="https://kdocs.cn/l/cr5QZuy3l1h9" TargetMode="External"/><Relationship Id="rId479" Type="http://schemas.openxmlformats.org/officeDocument/2006/relationships/hyperlink" Target="https://www.kdocs.cn/l/cd6XCNZpqV2y" TargetMode="External"/><Relationship Id="rId478" Type="http://schemas.openxmlformats.org/officeDocument/2006/relationships/hyperlink" Target="https://www.kdocs.cn/l/cnZZHPSEm2xT" TargetMode="External"/><Relationship Id="rId477" Type="http://schemas.openxmlformats.org/officeDocument/2006/relationships/hyperlink" Target="https://www.kdocs.cn/l/cpVHG7LZPO9B" TargetMode="External"/><Relationship Id="rId476" Type="http://schemas.openxmlformats.org/officeDocument/2006/relationships/hyperlink" Target="https://www.kdocs.cn/l/cmKpxVc8tK8u" TargetMode="External"/><Relationship Id="rId475" Type="http://schemas.openxmlformats.org/officeDocument/2006/relationships/hyperlink" Target="https://www.kdocs.cn/l/cfs7yc3xU4j9" TargetMode="External"/><Relationship Id="rId474" Type="http://schemas.openxmlformats.org/officeDocument/2006/relationships/hyperlink" Target="https://www.kdocs.cn/l/cbyddwip6VX9" TargetMode="External"/><Relationship Id="rId473" Type="http://schemas.openxmlformats.org/officeDocument/2006/relationships/hyperlink" Target="https://www.kdocs.cn/l/clZM9DNC0dOB" TargetMode="External"/><Relationship Id="rId472" Type="http://schemas.openxmlformats.org/officeDocument/2006/relationships/hyperlink" Target="https://www.kdocs.cn/l/cfdP7cbdg3Qs" TargetMode="External"/><Relationship Id="rId471" Type="http://schemas.openxmlformats.org/officeDocument/2006/relationships/hyperlink" Target="https://www.kdocs.cn/l/ckykWwNWWfzp" TargetMode="External"/><Relationship Id="rId470" Type="http://schemas.openxmlformats.org/officeDocument/2006/relationships/hyperlink" Target="https://www.kdocs.cn/l/cl6kWWsHH1nB" TargetMode="External"/><Relationship Id="rId47" Type="http://schemas.openxmlformats.org/officeDocument/2006/relationships/hyperlink" Target="https://kdocs.cn/l/ct7NMZ6rwDHl" TargetMode="External"/><Relationship Id="rId469" Type="http://schemas.openxmlformats.org/officeDocument/2006/relationships/hyperlink" Target="https://www.kdocs.cn/l/clPq3FSnOLXc" TargetMode="External"/><Relationship Id="rId468" Type="http://schemas.openxmlformats.org/officeDocument/2006/relationships/hyperlink" Target="https://www.kdocs.cn/l/coLNk23HgnqU" TargetMode="External"/><Relationship Id="rId467" Type="http://schemas.openxmlformats.org/officeDocument/2006/relationships/hyperlink" Target="https://www.kdocs.cn/l/cqjXyVc97S78" TargetMode="External"/><Relationship Id="rId466" Type="http://schemas.openxmlformats.org/officeDocument/2006/relationships/hyperlink" Target="https://www.kdocs.cn/l/cmyB0nPLG7GT" TargetMode="External"/><Relationship Id="rId465" Type="http://schemas.openxmlformats.org/officeDocument/2006/relationships/hyperlink" Target="https://www.kdocs.cn/l/cj2lPDTzndXV" TargetMode="External"/><Relationship Id="rId464" Type="http://schemas.openxmlformats.org/officeDocument/2006/relationships/hyperlink" Target="https://www.kdocs.cn/l/cjIOcL7Vim2q" TargetMode="External"/><Relationship Id="rId463" Type="http://schemas.openxmlformats.org/officeDocument/2006/relationships/hyperlink" Target="https://www.kdocs.cn/l/chLcIq9J350R" TargetMode="External"/><Relationship Id="rId462" Type="http://schemas.openxmlformats.org/officeDocument/2006/relationships/hyperlink" Target="https://www.kdocs.cn/l/cdLfcDxS9JhB" TargetMode="External"/><Relationship Id="rId461" Type="http://schemas.openxmlformats.org/officeDocument/2006/relationships/hyperlink" Target="https://www.kdocs.cn/l/cdcWTvjDLNAa" TargetMode="External"/><Relationship Id="rId460" Type="http://schemas.openxmlformats.org/officeDocument/2006/relationships/hyperlink" Target="https://www.kdocs.cn/l/cfKG7AemmiT8" TargetMode="External"/><Relationship Id="rId46" Type="http://schemas.openxmlformats.org/officeDocument/2006/relationships/hyperlink" Target="https://kdocs.cn/l/cug2nb4CkUEq" TargetMode="External"/><Relationship Id="rId459" Type="http://schemas.openxmlformats.org/officeDocument/2006/relationships/hyperlink" Target="https://www.kdocs.cn/l/cczYQkivVlga" TargetMode="External"/><Relationship Id="rId458" Type="http://schemas.openxmlformats.org/officeDocument/2006/relationships/hyperlink" Target="https://www.kdocs.cn/l/cgovw5CvmIqk" TargetMode="External"/><Relationship Id="rId457" Type="http://schemas.openxmlformats.org/officeDocument/2006/relationships/hyperlink" Target="https://www.kdocs.cn/l/cbpIUhdnseni" TargetMode="External"/><Relationship Id="rId456" Type="http://schemas.openxmlformats.org/officeDocument/2006/relationships/hyperlink" Target="https://www.kdocs.cn/l/ccuzbUcNUANW" TargetMode="External"/><Relationship Id="rId455" Type="http://schemas.openxmlformats.org/officeDocument/2006/relationships/hyperlink" Target="https://www.kdocs.cn/l/chJboxjqQCg0" TargetMode="External"/><Relationship Id="rId454" Type="http://schemas.openxmlformats.org/officeDocument/2006/relationships/hyperlink" Target="https://www.kdocs.cn/l/ceA1500DAGAi" TargetMode="External"/><Relationship Id="rId453" Type="http://schemas.openxmlformats.org/officeDocument/2006/relationships/hyperlink" Target="https://www.kdocs.cn/l/clwza1FzR5ni" TargetMode="External"/><Relationship Id="rId452" Type="http://schemas.openxmlformats.org/officeDocument/2006/relationships/hyperlink" Target="https://www.kdocs.cn/l/cqLpp4679yQy" TargetMode="External"/><Relationship Id="rId451" Type="http://schemas.openxmlformats.org/officeDocument/2006/relationships/hyperlink" Target="https://www.kdocs.cn/l/co28RK7ygZkp" TargetMode="External"/><Relationship Id="rId450" Type="http://schemas.openxmlformats.org/officeDocument/2006/relationships/hyperlink" Target="https://www.kdocs.cn/l/ceuawuXwIoWj" TargetMode="External"/><Relationship Id="rId45" Type="http://schemas.openxmlformats.org/officeDocument/2006/relationships/hyperlink" Target="https://kdocs.cn/l/casRpCbPGJ9M" TargetMode="External"/><Relationship Id="rId449" Type="http://schemas.openxmlformats.org/officeDocument/2006/relationships/hyperlink" Target="https://www.kdocs.cn/l/ciGoqXmvrNBy" TargetMode="External"/><Relationship Id="rId448" Type="http://schemas.openxmlformats.org/officeDocument/2006/relationships/hyperlink" Target="https://www.kdocs.cn/l/ccs82BFxS9y2" TargetMode="External"/><Relationship Id="rId447" Type="http://schemas.openxmlformats.org/officeDocument/2006/relationships/hyperlink" Target="https://www.kdocs.cn/l/ccGWvmcdRRCQ" TargetMode="External"/><Relationship Id="rId446" Type="http://schemas.openxmlformats.org/officeDocument/2006/relationships/hyperlink" Target="https://www.kdocs.cn/l/cmqNcjoKDyhJ" TargetMode="External"/><Relationship Id="rId445" Type="http://schemas.openxmlformats.org/officeDocument/2006/relationships/hyperlink" Target="https://www.kdocs.cn/l/cprzesq9UDGU" TargetMode="External"/><Relationship Id="rId444" Type="http://schemas.openxmlformats.org/officeDocument/2006/relationships/hyperlink" Target="https://www.kdocs.cn/l/covoCUN7nci0" TargetMode="External"/><Relationship Id="rId443" Type="http://schemas.openxmlformats.org/officeDocument/2006/relationships/hyperlink" Target="https://www.kdocs.cn/l/cno3PtaDha6t" TargetMode="External"/><Relationship Id="rId442" Type="http://schemas.openxmlformats.org/officeDocument/2006/relationships/hyperlink" Target="https://www.kdocs.cn/l/cacmwyqfFE2G" TargetMode="External"/><Relationship Id="rId441" Type="http://schemas.openxmlformats.org/officeDocument/2006/relationships/hyperlink" Target="https://www.kdocs.cn/l/ckeJhQjFAabx" TargetMode="External"/><Relationship Id="rId440" Type="http://schemas.openxmlformats.org/officeDocument/2006/relationships/hyperlink" Target="https://www.kdocs.cn/l/ctyJAYqMOFl3" TargetMode="External"/><Relationship Id="rId44" Type="http://schemas.openxmlformats.org/officeDocument/2006/relationships/hyperlink" Target="https://kdocs.cn/l/clcu11Nea15E" TargetMode="External"/><Relationship Id="rId439" Type="http://schemas.openxmlformats.org/officeDocument/2006/relationships/hyperlink" Target="https://www.kdocs.cn/l/cpuavLFzlEKp" TargetMode="External"/><Relationship Id="rId438" Type="http://schemas.openxmlformats.org/officeDocument/2006/relationships/hyperlink" Target="https://www.kdocs.cn/l/cdWdj50OIfCH" TargetMode="External"/><Relationship Id="rId437" Type="http://schemas.openxmlformats.org/officeDocument/2006/relationships/hyperlink" Target="https://www.kdocs.cn/l/cq0QowykWxKm" TargetMode="External"/><Relationship Id="rId436" Type="http://schemas.openxmlformats.org/officeDocument/2006/relationships/hyperlink" Target="https://www.kdocs.cn/l/crOtVWni0VBB" TargetMode="External"/><Relationship Id="rId435" Type="http://schemas.openxmlformats.org/officeDocument/2006/relationships/hyperlink" Target="https://www.kdocs.cn/l/ckwGlOBW26Ac" TargetMode="External"/><Relationship Id="rId434" Type="http://schemas.openxmlformats.org/officeDocument/2006/relationships/hyperlink" Target="https://www.kdocs.cn/l/ciO77QxxGxpb" TargetMode="External"/><Relationship Id="rId433" Type="http://schemas.openxmlformats.org/officeDocument/2006/relationships/hyperlink" Target="https://www.kdocs.cn/l/cpCQvsxbvE0R" TargetMode="External"/><Relationship Id="rId432" Type="http://schemas.openxmlformats.org/officeDocument/2006/relationships/hyperlink" Target="https://www.kdocs.cn/l/cm0oaopkdxPx" TargetMode="External"/><Relationship Id="rId431" Type="http://schemas.openxmlformats.org/officeDocument/2006/relationships/hyperlink" Target="https://www.kdocs.cn/l/cl3cWVrmj23t" TargetMode="External"/><Relationship Id="rId430" Type="http://schemas.openxmlformats.org/officeDocument/2006/relationships/hyperlink" Target="https://www.kdocs.cn/l/cvbnltdHLg8L" TargetMode="External"/><Relationship Id="rId43" Type="http://schemas.openxmlformats.org/officeDocument/2006/relationships/hyperlink" Target="https://kdocs.cn/l/can7orvg87x6" TargetMode="External"/><Relationship Id="rId429" Type="http://schemas.openxmlformats.org/officeDocument/2006/relationships/hyperlink" Target="https://www.kdocs.cn/l/cgpib2I3opKI" TargetMode="External"/><Relationship Id="rId428" Type="http://schemas.openxmlformats.org/officeDocument/2006/relationships/hyperlink" Target="https://www.kdocs.cn/l/cd4QhiL5HXp3" TargetMode="External"/><Relationship Id="rId427" Type="http://schemas.openxmlformats.org/officeDocument/2006/relationships/hyperlink" Target="https://www.kdocs.cn/l/ccZOFFo2QYLr" TargetMode="External"/><Relationship Id="rId426" Type="http://schemas.openxmlformats.org/officeDocument/2006/relationships/hyperlink" Target="https://www.kdocs.cn/l/cuwR2FLoOkHi" TargetMode="External"/><Relationship Id="rId425" Type="http://schemas.openxmlformats.org/officeDocument/2006/relationships/hyperlink" Target="https://www.kdocs.cn/l/cdHNezZyZyBS" TargetMode="External"/><Relationship Id="rId424" Type="http://schemas.openxmlformats.org/officeDocument/2006/relationships/hyperlink" Target="https://www.kdocs.cn/l/ctPJwNIlagbz" TargetMode="External"/><Relationship Id="rId423" Type="http://schemas.openxmlformats.org/officeDocument/2006/relationships/hyperlink" Target="https://www.kdocs.cn/l/coualKt8TatZ" TargetMode="External"/><Relationship Id="rId422" Type="http://schemas.openxmlformats.org/officeDocument/2006/relationships/hyperlink" Target="https://www.kdocs.cn/l/cv7qyWQyqAH4" TargetMode="External"/><Relationship Id="rId421" Type="http://schemas.openxmlformats.org/officeDocument/2006/relationships/hyperlink" Target="https://www.kdocs.cn/l/caHehqXyf3eW" TargetMode="External"/><Relationship Id="rId420" Type="http://schemas.openxmlformats.org/officeDocument/2006/relationships/hyperlink" Target="https://www.kdocs.cn/l/chRsAK4YV2Gl" TargetMode="External"/><Relationship Id="rId42" Type="http://schemas.openxmlformats.org/officeDocument/2006/relationships/hyperlink" Target="https://kdocs.cn/l/caroyPc7AdsO" TargetMode="External"/><Relationship Id="rId419" Type="http://schemas.openxmlformats.org/officeDocument/2006/relationships/hyperlink" Target="https://www.kdocs.cn/l/ckqKnzpWo9s3" TargetMode="External"/><Relationship Id="rId418" Type="http://schemas.openxmlformats.org/officeDocument/2006/relationships/hyperlink" Target="https://www.kdocs.cn/l/ca0YaoFoMQbq" TargetMode="External"/><Relationship Id="rId417" Type="http://schemas.openxmlformats.org/officeDocument/2006/relationships/hyperlink" Target="https://www.kdocs.cn/l/cczLhHbWyOdr" TargetMode="External"/><Relationship Id="rId416" Type="http://schemas.openxmlformats.org/officeDocument/2006/relationships/hyperlink" Target="https://www.kdocs.cn/l/ct54mk2sGM8f" TargetMode="External"/><Relationship Id="rId415" Type="http://schemas.openxmlformats.org/officeDocument/2006/relationships/hyperlink" Target="https://www.kdocs.cn/l/cnp6ovH2W8gd" TargetMode="External"/><Relationship Id="rId414" Type="http://schemas.openxmlformats.org/officeDocument/2006/relationships/hyperlink" Target="https://www.kdocs.cn/l/cowW0l0Jszy9" TargetMode="External"/><Relationship Id="rId413" Type="http://schemas.openxmlformats.org/officeDocument/2006/relationships/hyperlink" Target="https://www.kdocs.cn/l/corzkotm0JUD" TargetMode="External"/><Relationship Id="rId412" Type="http://schemas.openxmlformats.org/officeDocument/2006/relationships/hyperlink" Target="https://www.kdocs.cn/l/cmG77eRDipIs" TargetMode="External"/><Relationship Id="rId411" Type="http://schemas.openxmlformats.org/officeDocument/2006/relationships/hyperlink" Target="https://www.kdocs.cn/l/crLViHz5nuB9" TargetMode="External"/><Relationship Id="rId410" Type="http://schemas.openxmlformats.org/officeDocument/2006/relationships/hyperlink" Target="https://www.kdocs.cn/l/ciT1HGbttA1X" TargetMode="External"/><Relationship Id="rId41" Type="http://schemas.openxmlformats.org/officeDocument/2006/relationships/hyperlink" Target="https://kdocs.cn/l/ckQ4AelKhUII" TargetMode="External"/><Relationship Id="rId409" Type="http://schemas.openxmlformats.org/officeDocument/2006/relationships/hyperlink" Target="https://www.kdocs.cn/l/clNVyeoQWoDJ" TargetMode="External"/><Relationship Id="rId408" Type="http://schemas.openxmlformats.org/officeDocument/2006/relationships/hyperlink" Target="https://www.kdocs.cn/l/cb59OtCkKQlo" TargetMode="External"/><Relationship Id="rId407" Type="http://schemas.openxmlformats.org/officeDocument/2006/relationships/hyperlink" Target="https://www.kdocs.cn/l/ckw9jy85mlOi" TargetMode="External"/><Relationship Id="rId406" Type="http://schemas.openxmlformats.org/officeDocument/2006/relationships/hyperlink" Target="https://www.kdocs.cn/l/cb35B695nxGk" TargetMode="External"/><Relationship Id="rId405" Type="http://schemas.openxmlformats.org/officeDocument/2006/relationships/hyperlink" Target="https://www.kdocs.cn/l/cpQeESDfWrzc" TargetMode="External"/><Relationship Id="rId404" Type="http://schemas.openxmlformats.org/officeDocument/2006/relationships/hyperlink" Target="https://www.kdocs.cn/l/csrrUhN5r7aX" TargetMode="External"/><Relationship Id="rId403" Type="http://schemas.openxmlformats.org/officeDocument/2006/relationships/hyperlink" Target="https://www.kdocs.cn/l/cgZOZgQYa6Jf" TargetMode="External"/><Relationship Id="rId402" Type="http://schemas.openxmlformats.org/officeDocument/2006/relationships/hyperlink" Target="https://www.kdocs.cn/l/cc6JSHDk6xSO" TargetMode="External"/><Relationship Id="rId401" Type="http://schemas.openxmlformats.org/officeDocument/2006/relationships/hyperlink" Target="https://www.kdocs.cn/l/ccHBs4xQS7F2" TargetMode="External"/><Relationship Id="rId400" Type="http://schemas.openxmlformats.org/officeDocument/2006/relationships/hyperlink" Target="https://www.kdocs.cn/l/chSHTaAxbvhh" TargetMode="External"/><Relationship Id="rId40" Type="http://schemas.openxmlformats.org/officeDocument/2006/relationships/hyperlink" Target="https://kdocs.cn/l/chwneoOAtvxz" TargetMode="External"/><Relationship Id="rId4" Type="http://schemas.openxmlformats.org/officeDocument/2006/relationships/hyperlink" Target="https://kdocs.cn/l/coGaX7zUOmkF" TargetMode="External"/><Relationship Id="rId399" Type="http://schemas.openxmlformats.org/officeDocument/2006/relationships/hyperlink" Target="https://www.kdocs.cn/l/cpUiKfZbMR59" TargetMode="External"/><Relationship Id="rId398" Type="http://schemas.openxmlformats.org/officeDocument/2006/relationships/hyperlink" Target="https://www.kdocs.cn/l/ckCXGX4d34vR" TargetMode="External"/><Relationship Id="rId397" Type="http://schemas.openxmlformats.org/officeDocument/2006/relationships/hyperlink" Target="https://www.kdocs.cn/l/csatHtOSSzFb" TargetMode="External"/><Relationship Id="rId396" Type="http://schemas.openxmlformats.org/officeDocument/2006/relationships/hyperlink" Target="https://www.kdocs.cn/l/cuPhGqZIZKKW" TargetMode="External"/><Relationship Id="rId395" Type="http://schemas.openxmlformats.org/officeDocument/2006/relationships/hyperlink" Target="https://www.kdocs.cn/l/cozHeCAv4WzO" TargetMode="External"/><Relationship Id="rId394" Type="http://schemas.openxmlformats.org/officeDocument/2006/relationships/hyperlink" Target="https://www.kdocs.cn/l/cmDb3vV6ok5k" TargetMode="External"/><Relationship Id="rId393" Type="http://schemas.openxmlformats.org/officeDocument/2006/relationships/hyperlink" Target="https://www.kdocs.cn/l/cnIkG5Ofy4of" TargetMode="External"/><Relationship Id="rId392" Type="http://schemas.openxmlformats.org/officeDocument/2006/relationships/hyperlink" Target="https://www.kdocs.cn/l/cmwgE2vPPneo" TargetMode="External"/><Relationship Id="rId391" Type="http://schemas.openxmlformats.org/officeDocument/2006/relationships/hyperlink" Target="https://www.kdocs.cn/l/cbiX5cP2wFvd" TargetMode="External"/><Relationship Id="rId390" Type="http://schemas.openxmlformats.org/officeDocument/2006/relationships/hyperlink" Target="https://www.kdocs.cn/l/cjyGNeDaCDAP" TargetMode="External"/><Relationship Id="rId39" Type="http://schemas.openxmlformats.org/officeDocument/2006/relationships/hyperlink" Target="https://kdocs.cn/l/cghUjDN1dF3V" TargetMode="External"/><Relationship Id="rId389" Type="http://schemas.openxmlformats.org/officeDocument/2006/relationships/hyperlink" Target="https://www.kdocs.cn/l/coAqd48JFgpb" TargetMode="External"/><Relationship Id="rId388" Type="http://schemas.openxmlformats.org/officeDocument/2006/relationships/hyperlink" Target="https://www.kdocs.cn/l/cmlid8Ea9Lzt" TargetMode="External"/><Relationship Id="rId387" Type="http://schemas.openxmlformats.org/officeDocument/2006/relationships/hyperlink" Target="https://www.kdocs.cn/l/cv3idkFucTXS" TargetMode="External"/><Relationship Id="rId386" Type="http://schemas.openxmlformats.org/officeDocument/2006/relationships/hyperlink" Target="https://www.kdocs.cn/l/cbRUYFenGWEf" TargetMode="External"/><Relationship Id="rId385" Type="http://schemas.openxmlformats.org/officeDocument/2006/relationships/hyperlink" Target="https://www.kdocs.cn/l/cgUzfUEHmGLw" TargetMode="External"/><Relationship Id="rId384" Type="http://schemas.openxmlformats.org/officeDocument/2006/relationships/hyperlink" Target="https://www.kdocs.cn/l/cpXEkcC11yY8" TargetMode="External"/><Relationship Id="rId383" Type="http://schemas.openxmlformats.org/officeDocument/2006/relationships/hyperlink" Target="https://www.kdocs.cn/l/cqqRq7U8wd4a" TargetMode="External"/><Relationship Id="rId382" Type="http://schemas.openxmlformats.org/officeDocument/2006/relationships/hyperlink" Target="https://www.kdocs.cn/l/cgkL5V3W7wYK" TargetMode="External"/><Relationship Id="rId381" Type="http://schemas.openxmlformats.org/officeDocument/2006/relationships/hyperlink" Target="https://www.kdocs.cn/l/clMR0MpYG5MN" TargetMode="External"/><Relationship Id="rId380" Type="http://schemas.openxmlformats.org/officeDocument/2006/relationships/hyperlink" Target="https://www.kdocs.cn/l/cmz7HrKCBifO" TargetMode="External"/><Relationship Id="rId38" Type="http://schemas.openxmlformats.org/officeDocument/2006/relationships/hyperlink" Target="https://kdocs.cn/l/cvPTgdynmLJP" TargetMode="External"/><Relationship Id="rId379" Type="http://schemas.openxmlformats.org/officeDocument/2006/relationships/hyperlink" Target="https://www.kdocs.cn/l/ceDmBp2stIZ6" TargetMode="External"/><Relationship Id="rId378" Type="http://schemas.openxmlformats.org/officeDocument/2006/relationships/hyperlink" Target="https://www.kdocs.cn/l/cpC2tsXo3UaO" TargetMode="External"/><Relationship Id="rId377" Type="http://schemas.openxmlformats.org/officeDocument/2006/relationships/hyperlink" Target="https://www.kdocs.cn/l/ck31HwejLVn7" TargetMode="External"/><Relationship Id="rId376" Type="http://schemas.openxmlformats.org/officeDocument/2006/relationships/hyperlink" Target="https://www.kdocs.cn/l/cnaKuYtX2dop" TargetMode="External"/><Relationship Id="rId375" Type="http://schemas.openxmlformats.org/officeDocument/2006/relationships/hyperlink" Target="https://www.kdocs.cn/l/cgjfgU5drz1f" TargetMode="External"/><Relationship Id="rId374" Type="http://schemas.openxmlformats.org/officeDocument/2006/relationships/hyperlink" Target="https://www.kdocs.cn/l/cvygoEfah0Of" TargetMode="External"/><Relationship Id="rId373" Type="http://schemas.openxmlformats.org/officeDocument/2006/relationships/hyperlink" Target="https://www.kdocs.cn/l/cmRlMeODaAsf" TargetMode="External"/><Relationship Id="rId372" Type="http://schemas.openxmlformats.org/officeDocument/2006/relationships/hyperlink" Target="https://www.kdocs.cn/l/cviX3mFvZo4I" TargetMode="External"/><Relationship Id="rId371" Type="http://schemas.openxmlformats.org/officeDocument/2006/relationships/hyperlink" Target="https://www.kdocs.cn/l/cqTZTIwxr9ht" TargetMode="External"/><Relationship Id="rId370" Type="http://schemas.openxmlformats.org/officeDocument/2006/relationships/hyperlink" Target="https://www.kdocs.cn/l/cqTfy64FkUIA" TargetMode="External"/><Relationship Id="rId37" Type="http://schemas.openxmlformats.org/officeDocument/2006/relationships/hyperlink" Target="https://kdocs.cn/l/cdarvYnOmNl7" TargetMode="External"/><Relationship Id="rId369" Type="http://schemas.openxmlformats.org/officeDocument/2006/relationships/hyperlink" Target="https://www.kdocs.cn/l/cvhybAjV7Dlt" TargetMode="External"/><Relationship Id="rId368" Type="http://schemas.openxmlformats.org/officeDocument/2006/relationships/hyperlink" Target="https://www.kdocs.cn/l/cgEtr6BFJXok" TargetMode="External"/><Relationship Id="rId367" Type="http://schemas.openxmlformats.org/officeDocument/2006/relationships/hyperlink" Target="https://www.kdocs.cn/l/ciAHBv0dRsuu" TargetMode="External"/><Relationship Id="rId366" Type="http://schemas.openxmlformats.org/officeDocument/2006/relationships/hyperlink" Target="https://www.kdocs.cn/l/cfYjDh0h24PR" TargetMode="External"/><Relationship Id="rId365" Type="http://schemas.openxmlformats.org/officeDocument/2006/relationships/hyperlink" Target="https://www.kdocs.cn/l/cuIVBMln5um9" TargetMode="External"/><Relationship Id="rId364" Type="http://schemas.openxmlformats.org/officeDocument/2006/relationships/hyperlink" Target="https://www.kdocs.cn/l/clwCeViB9uki" TargetMode="External"/><Relationship Id="rId363" Type="http://schemas.openxmlformats.org/officeDocument/2006/relationships/hyperlink" Target="https://www.kdocs.cn/l/caAPfedTxzsQ" TargetMode="External"/><Relationship Id="rId362" Type="http://schemas.openxmlformats.org/officeDocument/2006/relationships/hyperlink" Target="https://www.kdocs.cn/l/cvwWeFs0S1aC" TargetMode="External"/><Relationship Id="rId361" Type="http://schemas.openxmlformats.org/officeDocument/2006/relationships/hyperlink" Target="https://www.kdocs.cn/l/cdeg3ryaYDnj" TargetMode="External"/><Relationship Id="rId360" Type="http://schemas.openxmlformats.org/officeDocument/2006/relationships/hyperlink" Target="https://www.kdocs.cn/l/cuGLmRJShlyA" TargetMode="External"/><Relationship Id="rId36" Type="http://schemas.openxmlformats.org/officeDocument/2006/relationships/hyperlink" Target="https://kdocs.cn/l/cs2X44lfqF1V" TargetMode="External"/><Relationship Id="rId359" Type="http://schemas.openxmlformats.org/officeDocument/2006/relationships/hyperlink" Target="https://www.kdocs.cn/l/ceZgD4LG3X4l" TargetMode="External"/><Relationship Id="rId358" Type="http://schemas.openxmlformats.org/officeDocument/2006/relationships/hyperlink" Target="https://www.kdocs.cn/l/cm2ETymwGMPL" TargetMode="External"/><Relationship Id="rId357" Type="http://schemas.openxmlformats.org/officeDocument/2006/relationships/hyperlink" Target="https://www.kdocs.cn/l/caRec8NiI7C6" TargetMode="External"/><Relationship Id="rId356" Type="http://schemas.openxmlformats.org/officeDocument/2006/relationships/hyperlink" Target="https://www.kdocs.cn/l/cbLxUOiY2jD2" TargetMode="External"/><Relationship Id="rId355" Type="http://schemas.openxmlformats.org/officeDocument/2006/relationships/hyperlink" Target="https://www.kdocs.cn/l/cpwv6yfOLXg7" TargetMode="External"/><Relationship Id="rId354" Type="http://schemas.openxmlformats.org/officeDocument/2006/relationships/hyperlink" Target="https://www.kdocs.cn/l/cnDPYZkuvIbs" TargetMode="External"/><Relationship Id="rId353" Type="http://schemas.openxmlformats.org/officeDocument/2006/relationships/hyperlink" Target="https://www.kdocs.cn/l/cpLBIJ5vC2b7" TargetMode="External"/><Relationship Id="rId352" Type="http://schemas.openxmlformats.org/officeDocument/2006/relationships/hyperlink" Target="https://www.kdocs.cn/l/chCpVsisyMS8" TargetMode="External"/><Relationship Id="rId351" Type="http://schemas.openxmlformats.org/officeDocument/2006/relationships/hyperlink" Target="https://www.kdocs.cn/l/cjvrnvw9tvEC" TargetMode="External"/><Relationship Id="rId350" Type="http://schemas.openxmlformats.org/officeDocument/2006/relationships/hyperlink" Target="https://www.kdocs.cn/l/cuk971h7FNp9" TargetMode="External"/><Relationship Id="rId35" Type="http://schemas.openxmlformats.org/officeDocument/2006/relationships/hyperlink" Target="https://kdocs.cn/l/ccpNQlUaZnrl" TargetMode="External"/><Relationship Id="rId349" Type="http://schemas.openxmlformats.org/officeDocument/2006/relationships/hyperlink" Target="https://www.kdocs.cn/l/cvMNQZue3M5w" TargetMode="External"/><Relationship Id="rId348" Type="http://schemas.openxmlformats.org/officeDocument/2006/relationships/hyperlink" Target="https://www.kdocs.cn/l/cfSUynWIunFo" TargetMode="External"/><Relationship Id="rId347" Type="http://schemas.openxmlformats.org/officeDocument/2006/relationships/hyperlink" Target="https://www.kdocs.cn/l/cl5XiMlSXkoS" TargetMode="External"/><Relationship Id="rId346" Type="http://schemas.openxmlformats.org/officeDocument/2006/relationships/hyperlink" Target="https://www.kdocs.cn/l/cqaj2wITC4IE" TargetMode="External"/><Relationship Id="rId345" Type="http://schemas.openxmlformats.org/officeDocument/2006/relationships/hyperlink" Target="https://www.kdocs.cn/l/cb2bQPtxYi7P" TargetMode="External"/><Relationship Id="rId344" Type="http://schemas.openxmlformats.org/officeDocument/2006/relationships/hyperlink" Target="https://www.kdocs.cn/l/crObGwVLBWg9" TargetMode="External"/><Relationship Id="rId343" Type="http://schemas.openxmlformats.org/officeDocument/2006/relationships/hyperlink" Target="https://www.kdocs.cn/l/cnxwWVvLUV5Y" TargetMode="External"/><Relationship Id="rId342" Type="http://schemas.openxmlformats.org/officeDocument/2006/relationships/hyperlink" Target="https://www.kdocs.cn/l/cb43wblrtIWj" TargetMode="External"/><Relationship Id="rId341" Type="http://schemas.openxmlformats.org/officeDocument/2006/relationships/hyperlink" Target="https://www.kdocs.cn/l/cu8jsKye6VsI" TargetMode="External"/><Relationship Id="rId340" Type="http://schemas.openxmlformats.org/officeDocument/2006/relationships/hyperlink" Target="https://www.kdocs.cn/l/cr2TptGPLIOc" TargetMode="External"/><Relationship Id="rId34" Type="http://schemas.openxmlformats.org/officeDocument/2006/relationships/hyperlink" Target="https://kdocs.cn/l/coeTS7YrbwAI" TargetMode="External"/><Relationship Id="rId339" Type="http://schemas.openxmlformats.org/officeDocument/2006/relationships/hyperlink" Target="https://www.kdocs.cn/l/cqASAAyMG60C" TargetMode="External"/><Relationship Id="rId338" Type="http://schemas.openxmlformats.org/officeDocument/2006/relationships/hyperlink" Target="https://www.kdocs.cn/l/cbi7yKT8Bnc4" TargetMode="External"/><Relationship Id="rId337" Type="http://schemas.openxmlformats.org/officeDocument/2006/relationships/hyperlink" Target="https://www.kdocs.cn/l/cniTD2MnJJ6X" TargetMode="External"/><Relationship Id="rId336" Type="http://schemas.openxmlformats.org/officeDocument/2006/relationships/hyperlink" Target="https://www.kdocs.cn/l/ciFOiwGX4OFl" TargetMode="External"/><Relationship Id="rId335" Type="http://schemas.openxmlformats.org/officeDocument/2006/relationships/hyperlink" Target="https://www.kdocs.cn/l/cpyCVLzTCO4o" TargetMode="External"/><Relationship Id="rId334" Type="http://schemas.openxmlformats.org/officeDocument/2006/relationships/hyperlink" Target="https://www.kdocs.cn/l/co0F3TJYBjRp" TargetMode="External"/><Relationship Id="rId333" Type="http://schemas.openxmlformats.org/officeDocument/2006/relationships/hyperlink" Target="https://www.kdocs.cn/l/cgP9Ccj4fGWf" TargetMode="External"/><Relationship Id="rId332" Type="http://schemas.openxmlformats.org/officeDocument/2006/relationships/hyperlink" Target="https://www.kdocs.cn/l/ciTg33J5FTUO" TargetMode="External"/><Relationship Id="rId331" Type="http://schemas.openxmlformats.org/officeDocument/2006/relationships/hyperlink" Target="https://www.kdocs.cn/l/csJ3qmlCzHr0" TargetMode="External"/><Relationship Id="rId330" Type="http://schemas.openxmlformats.org/officeDocument/2006/relationships/hyperlink" Target="https://www.kdocs.cn/l/cmaoNc8m7VPz" TargetMode="External"/><Relationship Id="rId33" Type="http://schemas.openxmlformats.org/officeDocument/2006/relationships/hyperlink" Target="https://kdocs.cn/l/ceZNazluTCYP" TargetMode="External"/><Relationship Id="rId329" Type="http://schemas.openxmlformats.org/officeDocument/2006/relationships/hyperlink" Target="https://www.kdocs.cn/l/cdmFTIgGXL0W" TargetMode="External"/><Relationship Id="rId328" Type="http://schemas.openxmlformats.org/officeDocument/2006/relationships/hyperlink" Target="https://www.kdocs.cn/l/cmXqhWVp8e5Y" TargetMode="External"/><Relationship Id="rId327" Type="http://schemas.openxmlformats.org/officeDocument/2006/relationships/hyperlink" Target="https://www.kdocs.cn/l/ctrsCG0KNwgi" TargetMode="External"/><Relationship Id="rId326" Type="http://schemas.openxmlformats.org/officeDocument/2006/relationships/hyperlink" Target="https://www.kdocs.cn/l/ct52ioTM2Au3" TargetMode="External"/><Relationship Id="rId325" Type="http://schemas.openxmlformats.org/officeDocument/2006/relationships/hyperlink" Target="https://www.kdocs.cn/l/chnn5wK0OgIm" TargetMode="External"/><Relationship Id="rId324" Type="http://schemas.openxmlformats.org/officeDocument/2006/relationships/hyperlink" Target="https://kdocs.cn/l/comqG4q1E3Fb" TargetMode="External"/><Relationship Id="rId323" Type="http://schemas.openxmlformats.org/officeDocument/2006/relationships/hyperlink" Target="https://kdocs.cn/l/caKqGP0FgVTP" TargetMode="External"/><Relationship Id="rId322" Type="http://schemas.openxmlformats.org/officeDocument/2006/relationships/hyperlink" Target="https://kdocs.cn/l/ckpeTrO1jext" TargetMode="External"/><Relationship Id="rId321" Type="http://schemas.openxmlformats.org/officeDocument/2006/relationships/hyperlink" Target="https://kdocs.cn/l/cnbpyBmqsfPm" TargetMode="External"/><Relationship Id="rId320" Type="http://schemas.openxmlformats.org/officeDocument/2006/relationships/hyperlink" Target="https://kdocs.cn/l/cpc96OHzbzcz" TargetMode="External"/><Relationship Id="rId32" Type="http://schemas.openxmlformats.org/officeDocument/2006/relationships/hyperlink" Target="https://kdocs.cn/l/cmxRwyrQTt8A" TargetMode="External"/><Relationship Id="rId319" Type="http://schemas.openxmlformats.org/officeDocument/2006/relationships/hyperlink" Target="https://kdocs.cn/l/clgwjcQUoVWj" TargetMode="External"/><Relationship Id="rId318" Type="http://schemas.openxmlformats.org/officeDocument/2006/relationships/hyperlink" Target="https://kdocs.cn/l/ceWYtXAM2x6i" TargetMode="External"/><Relationship Id="rId317" Type="http://schemas.openxmlformats.org/officeDocument/2006/relationships/hyperlink" Target="https://kdocs.cn/l/cfFNenEgAqsr" TargetMode="External"/><Relationship Id="rId316" Type="http://schemas.openxmlformats.org/officeDocument/2006/relationships/hyperlink" Target="https://kdocs.cn/l/cr25NBcOCsP1" TargetMode="External"/><Relationship Id="rId315" Type="http://schemas.openxmlformats.org/officeDocument/2006/relationships/hyperlink" Target="https://kdocs.cn/l/cfz09nI99vre" TargetMode="External"/><Relationship Id="rId314" Type="http://schemas.openxmlformats.org/officeDocument/2006/relationships/hyperlink" Target="https://kdocs.cn/l/cduRycNKUxP2" TargetMode="External"/><Relationship Id="rId313" Type="http://schemas.openxmlformats.org/officeDocument/2006/relationships/hyperlink" Target="https://kdocs.cn/l/cdTPrGp4nQzV" TargetMode="External"/><Relationship Id="rId312" Type="http://schemas.openxmlformats.org/officeDocument/2006/relationships/hyperlink" Target="https://kdocs.cn/l/csROmDw5Z4WC" TargetMode="External"/><Relationship Id="rId311" Type="http://schemas.openxmlformats.org/officeDocument/2006/relationships/hyperlink" Target="https://kdocs.cn/l/ciDpOJA1ZA2Q" TargetMode="External"/><Relationship Id="rId310" Type="http://schemas.openxmlformats.org/officeDocument/2006/relationships/hyperlink" Target="https://kdocs.cn/l/cpJ61629JqQm" TargetMode="External"/><Relationship Id="rId31" Type="http://schemas.openxmlformats.org/officeDocument/2006/relationships/hyperlink" Target="https://kdocs.cn/l/cfEzfaQPTlec" TargetMode="External"/><Relationship Id="rId309" Type="http://schemas.openxmlformats.org/officeDocument/2006/relationships/hyperlink" Target="https://kdocs.cn/l/cbNqRFP4IVhN" TargetMode="External"/><Relationship Id="rId308" Type="http://schemas.openxmlformats.org/officeDocument/2006/relationships/hyperlink" Target="https://kdocs.cn/l/cp0Z4f2y46qC" TargetMode="External"/><Relationship Id="rId307" Type="http://schemas.openxmlformats.org/officeDocument/2006/relationships/hyperlink" Target="https://kdocs.cn/l/cmDBPT2yxxIR" TargetMode="External"/><Relationship Id="rId306" Type="http://schemas.openxmlformats.org/officeDocument/2006/relationships/hyperlink" Target="https://kdocs.cn/l/ccfeQlTDkK5V" TargetMode="External"/><Relationship Id="rId305" Type="http://schemas.openxmlformats.org/officeDocument/2006/relationships/hyperlink" Target="https://kdocs.cn/l/cq8Af0rwMn4v" TargetMode="External"/><Relationship Id="rId304" Type="http://schemas.openxmlformats.org/officeDocument/2006/relationships/hyperlink" Target="https://kdocs.cn/l/ce9sNtahz8L6" TargetMode="External"/><Relationship Id="rId303" Type="http://schemas.openxmlformats.org/officeDocument/2006/relationships/hyperlink" Target="https://kdocs.cn/l/ceLmYv2G3S6m" TargetMode="External"/><Relationship Id="rId302" Type="http://schemas.openxmlformats.org/officeDocument/2006/relationships/hyperlink" Target="https://kdocs.cn/l/caKhwwaPUtsC" TargetMode="External"/><Relationship Id="rId301" Type="http://schemas.openxmlformats.org/officeDocument/2006/relationships/hyperlink" Target="https://kdocs.cn/l/cst8UWksN8k6" TargetMode="External"/><Relationship Id="rId300" Type="http://schemas.openxmlformats.org/officeDocument/2006/relationships/hyperlink" Target="https://kdocs.cn/l/ck84beS7E73R" TargetMode="External"/><Relationship Id="rId30" Type="http://schemas.openxmlformats.org/officeDocument/2006/relationships/hyperlink" Target="https://kdocs.cn/l/cmhoJtPtec6E" TargetMode="External"/><Relationship Id="rId3" Type="http://schemas.openxmlformats.org/officeDocument/2006/relationships/hyperlink" Target="https://kdocs.cn/l/cgYqRJNTX65D" TargetMode="External"/><Relationship Id="rId299" Type="http://schemas.openxmlformats.org/officeDocument/2006/relationships/hyperlink" Target="https://kdocs.cn/l/cn014J0i8r3D" TargetMode="External"/><Relationship Id="rId298" Type="http://schemas.openxmlformats.org/officeDocument/2006/relationships/hyperlink" Target="https://kdocs.cn/l/cgHu10iI5Oxe" TargetMode="External"/><Relationship Id="rId297" Type="http://schemas.openxmlformats.org/officeDocument/2006/relationships/hyperlink" Target="https://kdocs.cn/l/cbYInnYfiwkZ" TargetMode="External"/><Relationship Id="rId296" Type="http://schemas.openxmlformats.org/officeDocument/2006/relationships/hyperlink" Target="https://kdocs.cn/l/cr1aZJprGeiZ" TargetMode="External"/><Relationship Id="rId295" Type="http://schemas.openxmlformats.org/officeDocument/2006/relationships/hyperlink" Target="https://kdocs.cn/l/ch1YuLnaeSDK" TargetMode="External"/><Relationship Id="rId294" Type="http://schemas.openxmlformats.org/officeDocument/2006/relationships/hyperlink" Target="https://kdocs.cn/l/cpp7jyNYC4fo" TargetMode="External"/><Relationship Id="rId293" Type="http://schemas.openxmlformats.org/officeDocument/2006/relationships/hyperlink" Target="https://kdocs.cn/l/cisQUXpzrI4Y" TargetMode="External"/><Relationship Id="rId292" Type="http://schemas.openxmlformats.org/officeDocument/2006/relationships/hyperlink" Target="https://kdocs.cn/l/ctEciO3TbyFV" TargetMode="External"/><Relationship Id="rId291" Type="http://schemas.openxmlformats.org/officeDocument/2006/relationships/hyperlink" Target="https://kdocs.cn/l/co76RILx69JG" TargetMode="External"/><Relationship Id="rId290" Type="http://schemas.openxmlformats.org/officeDocument/2006/relationships/hyperlink" Target="https://kdocs.cn/l/cq7aP1NwBtgM" TargetMode="External"/><Relationship Id="rId29" Type="http://schemas.openxmlformats.org/officeDocument/2006/relationships/hyperlink" Target="https://kdocs.cn/l/cvIvME70eS8X" TargetMode="External"/><Relationship Id="rId289" Type="http://schemas.openxmlformats.org/officeDocument/2006/relationships/hyperlink" Target="https://kdocs.cn/l/cuNxjVHF7Sdi" TargetMode="External"/><Relationship Id="rId288" Type="http://schemas.openxmlformats.org/officeDocument/2006/relationships/hyperlink" Target="https://kdocs.cn/l/ckHfi6bIbHyG" TargetMode="External"/><Relationship Id="rId287" Type="http://schemas.openxmlformats.org/officeDocument/2006/relationships/hyperlink" Target="https://kdocs.cn/l/ctmg2DpXDZ9C" TargetMode="External"/><Relationship Id="rId286" Type="http://schemas.openxmlformats.org/officeDocument/2006/relationships/hyperlink" Target="https://kdocs.cn/l/cbHVArjMgEsc" TargetMode="External"/><Relationship Id="rId285" Type="http://schemas.openxmlformats.org/officeDocument/2006/relationships/hyperlink" Target="https://kdocs.cn/l/cpmad8kmw3NQ" TargetMode="External"/><Relationship Id="rId284" Type="http://schemas.openxmlformats.org/officeDocument/2006/relationships/hyperlink" Target="https://kdocs.cn/l/cq18DsxFq7Gw" TargetMode="External"/><Relationship Id="rId283" Type="http://schemas.openxmlformats.org/officeDocument/2006/relationships/hyperlink" Target="https://kdocs.cn/l/coprnHicoBcy" TargetMode="External"/><Relationship Id="rId282" Type="http://schemas.openxmlformats.org/officeDocument/2006/relationships/hyperlink" Target="https://kdocs.cn/l/cszeWQk4lBJW" TargetMode="External"/><Relationship Id="rId281" Type="http://schemas.openxmlformats.org/officeDocument/2006/relationships/hyperlink" Target="https://kdocs.cn/l/cfhQkZiEJEPf" TargetMode="External"/><Relationship Id="rId280" Type="http://schemas.openxmlformats.org/officeDocument/2006/relationships/hyperlink" Target="https://kdocs.cn/l/cpBtZhF6VFlh" TargetMode="External"/><Relationship Id="rId28" Type="http://schemas.openxmlformats.org/officeDocument/2006/relationships/hyperlink" Target="https://kdocs.cn/l/cjoRA7C7tiY8" TargetMode="External"/><Relationship Id="rId279" Type="http://schemas.openxmlformats.org/officeDocument/2006/relationships/hyperlink" Target="https://kdocs.cn/l/crRryje3bmuF" TargetMode="External"/><Relationship Id="rId278" Type="http://schemas.openxmlformats.org/officeDocument/2006/relationships/hyperlink" Target="https://kdocs.cn/l/cltMb2Y6dGqX" TargetMode="External"/><Relationship Id="rId277" Type="http://schemas.openxmlformats.org/officeDocument/2006/relationships/hyperlink" Target="https://kdocs.cn/l/cg02HdR0shXN" TargetMode="External"/><Relationship Id="rId276" Type="http://schemas.openxmlformats.org/officeDocument/2006/relationships/hyperlink" Target="https://kdocs.cn/l/cqcTmSQuUhA6" TargetMode="External"/><Relationship Id="rId275" Type="http://schemas.openxmlformats.org/officeDocument/2006/relationships/hyperlink" Target="https://kdocs.cn/l/ceYHdNtyWYt8" TargetMode="External"/><Relationship Id="rId274" Type="http://schemas.openxmlformats.org/officeDocument/2006/relationships/hyperlink" Target="https://kdocs.cn/l/ckXeK9gZYSRU" TargetMode="External"/><Relationship Id="rId273" Type="http://schemas.openxmlformats.org/officeDocument/2006/relationships/hyperlink" Target="https://kdocs.cn/l/cb3nf7WSAD76" TargetMode="External"/><Relationship Id="rId272" Type="http://schemas.openxmlformats.org/officeDocument/2006/relationships/hyperlink" Target="https://kdocs.cn/l/cvHhCj5h63QM" TargetMode="External"/><Relationship Id="rId271" Type="http://schemas.openxmlformats.org/officeDocument/2006/relationships/hyperlink" Target="https://kdocs.cn/l/cezT7jldBF7k" TargetMode="External"/><Relationship Id="rId270" Type="http://schemas.openxmlformats.org/officeDocument/2006/relationships/hyperlink" Target="https://kdocs.cn/l/ciLi7pMePqnm" TargetMode="External"/><Relationship Id="rId27" Type="http://schemas.openxmlformats.org/officeDocument/2006/relationships/hyperlink" Target="https://kdocs.cn/l/clI47ClvcK5s" TargetMode="External"/><Relationship Id="rId269" Type="http://schemas.openxmlformats.org/officeDocument/2006/relationships/hyperlink" Target="https://kdocs.cn/l/cjLfYiFrfKnX" TargetMode="External"/><Relationship Id="rId268" Type="http://schemas.openxmlformats.org/officeDocument/2006/relationships/hyperlink" Target="https://kdocs.cn/l/ce9upJrybLqs" TargetMode="External"/><Relationship Id="rId267" Type="http://schemas.openxmlformats.org/officeDocument/2006/relationships/hyperlink" Target="https://kdocs.cn/l/cho1aJ4Snr9L" TargetMode="External"/><Relationship Id="rId266" Type="http://schemas.openxmlformats.org/officeDocument/2006/relationships/hyperlink" Target="https://kdocs.cn/l/ctXRVJMS4qic" TargetMode="External"/><Relationship Id="rId265" Type="http://schemas.openxmlformats.org/officeDocument/2006/relationships/hyperlink" Target="https://kdocs.cn/l/coFoxqkZDgsD" TargetMode="External"/><Relationship Id="rId264" Type="http://schemas.openxmlformats.org/officeDocument/2006/relationships/hyperlink" Target="https://kdocs.cn/l/cphzzH9kwuDd" TargetMode="External"/><Relationship Id="rId263" Type="http://schemas.openxmlformats.org/officeDocument/2006/relationships/hyperlink" Target="https://kdocs.cn/l/cebv1bP9CL0r" TargetMode="External"/><Relationship Id="rId262" Type="http://schemas.openxmlformats.org/officeDocument/2006/relationships/hyperlink" Target="https://kdocs.cn/l/cnKIZMD99JnN" TargetMode="External"/><Relationship Id="rId261" Type="http://schemas.openxmlformats.org/officeDocument/2006/relationships/hyperlink" Target="https://kdocs.cn/l/csIrBtv56hqK" TargetMode="External"/><Relationship Id="rId260" Type="http://schemas.openxmlformats.org/officeDocument/2006/relationships/hyperlink" Target="https://kdocs.cn/l/ciU8ufOJwvaG" TargetMode="External"/><Relationship Id="rId26" Type="http://schemas.openxmlformats.org/officeDocument/2006/relationships/hyperlink" Target="https://kdocs.cn/l/cb2N1G5EwDGc" TargetMode="External"/><Relationship Id="rId259" Type="http://schemas.openxmlformats.org/officeDocument/2006/relationships/hyperlink" Target="https://kdocs.cn/l/cv7POP1yLD8u" TargetMode="External"/><Relationship Id="rId258" Type="http://schemas.openxmlformats.org/officeDocument/2006/relationships/hyperlink" Target="https://kdocs.cn/l/clpbVyBdQmaz" TargetMode="External"/><Relationship Id="rId257" Type="http://schemas.openxmlformats.org/officeDocument/2006/relationships/hyperlink" Target="https://kdocs.cn/l/cfvExyzx2yOn" TargetMode="External"/><Relationship Id="rId256" Type="http://schemas.openxmlformats.org/officeDocument/2006/relationships/hyperlink" Target="https://kdocs.cn/l/cpbNw0YBUFmi" TargetMode="External"/><Relationship Id="rId255" Type="http://schemas.openxmlformats.org/officeDocument/2006/relationships/hyperlink" Target="https://kdocs.cn/l/cae8t9g24vim" TargetMode="External"/><Relationship Id="rId254" Type="http://schemas.openxmlformats.org/officeDocument/2006/relationships/hyperlink" Target="https://kdocs.cn/l/ce4CoP6UyGhB" TargetMode="External"/><Relationship Id="rId253" Type="http://schemas.openxmlformats.org/officeDocument/2006/relationships/hyperlink" Target="https://kdocs.cn/l/ca5aX7jN8FOE" TargetMode="External"/><Relationship Id="rId252" Type="http://schemas.openxmlformats.org/officeDocument/2006/relationships/hyperlink" Target="https://kdocs.cn/l/ciXmJSBv32mt" TargetMode="External"/><Relationship Id="rId251" Type="http://schemas.openxmlformats.org/officeDocument/2006/relationships/hyperlink" Target="https://kdocs.cn/l/cnSxiSESfGK2" TargetMode="External"/><Relationship Id="rId250" Type="http://schemas.openxmlformats.org/officeDocument/2006/relationships/hyperlink" Target="https://kdocs.cn/l/cdsbu1Kj2Sgj" TargetMode="External"/><Relationship Id="rId25" Type="http://schemas.openxmlformats.org/officeDocument/2006/relationships/hyperlink" Target="https://kdocs.cn/l/cqw4Kd2RiEtT" TargetMode="External"/><Relationship Id="rId249" Type="http://schemas.openxmlformats.org/officeDocument/2006/relationships/hyperlink" Target="https://kdocs.cn/l/crm7znvUz6PP" TargetMode="External"/><Relationship Id="rId248" Type="http://schemas.openxmlformats.org/officeDocument/2006/relationships/hyperlink" Target="https://kdocs.cn/l/cijSTAUXHugK" TargetMode="External"/><Relationship Id="rId247" Type="http://schemas.openxmlformats.org/officeDocument/2006/relationships/hyperlink" Target="https://kdocs.cn/l/ciT3iFZact1N" TargetMode="External"/><Relationship Id="rId246" Type="http://schemas.openxmlformats.org/officeDocument/2006/relationships/hyperlink" Target="https://kdocs.cn/l/cdBggepq7Prn" TargetMode="External"/><Relationship Id="rId245" Type="http://schemas.openxmlformats.org/officeDocument/2006/relationships/hyperlink" Target="https://kdocs.cn/l/cofyewgCFaHr" TargetMode="External"/><Relationship Id="rId244" Type="http://schemas.openxmlformats.org/officeDocument/2006/relationships/hyperlink" Target="https://kdocs.cn/l/ceuwLdeZt51v" TargetMode="External"/><Relationship Id="rId243" Type="http://schemas.openxmlformats.org/officeDocument/2006/relationships/hyperlink" Target="https://kdocs.cn/l/crwnGQBHJeGh" TargetMode="External"/><Relationship Id="rId242" Type="http://schemas.openxmlformats.org/officeDocument/2006/relationships/hyperlink" Target="https://kdocs.cn/l/cduZX2AvSQBv" TargetMode="External"/><Relationship Id="rId241" Type="http://schemas.openxmlformats.org/officeDocument/2006/relationships/hyperlink" Target="https://kdocs.cn/l/cf4yoi6ibtrc" TargetMode="External"/><Relationship Id="rId240" Type="http://schemas.openxmlformats.org/officeDocument/2006/relationships/hyperlink" Target="https://kdocs.cn/l/coWj55UUJLsm" TargetMode="External"/><Relationship Id="rId24" Type="http://schemas.openxmlformats.org/officeDocument/2006/relationships/hyperlink" Target="https://kdocs.cn/l/cdklTVz5O7Ys" TargetMode="External"/><Relationship Id="rId239" Type="http://schemas.openxmlformats.org/officeDocument/2006/relationships/hyperlink" Target="https://kdocs.cn/l/coEc688EwuDF" TargetMode="External"/><Relationship Id="rId238" Type="http://schemas.openxmlformats.org/officeDocument/2006/relationships/hyperlink" Target="https://kdocs.cn/l/cmWAaVkGKNJC" TargetMode="External"/><Relationship Id="rId237" Type="http://schemas.openxmlformats.org/officeDocument/2006/relationships/hyperlink" Target="https://kdocs.cn/l/cfAuSHML1iJ7" TargetMode="External"/><Relationship Id="rId236" Type="http://schemas.openxmlformats.org/officeDocument/2006/relationships/hyperlink" Target="https://kdocs.cn/l/cilo0YI3KHLR" TargetMode="External"/><Relationship Id="rId235" Type="http://schemas.openxmlformats.org/officeDocument/2006/relationships/hyperlink" Target="https://kdocs.cn/l/cpB4Dzvll9DP" TargetMode="External"/><Relationship Id="rId234" Type="http://schemas.openxmlformats.org/officeDocument/2006/relationships/hyperlink" Target="https://kdocs.cn/l/cmkJwg6TNfxK" TargetMode="External"/><Relationship Id="rId233" Type="http://schemas.openxmlformats.org/officeDocument/2006/relationships/hyperlink" Target="https://kdocs.cn/l/cgfwrFFulq9z" TargetMode="External"/><Relationship Id="rId232" Type="http://schemas.openxmlformats.org/officeDocument/2006/relationships/hyperlink" Target="https://kdocs.cn/l/cpbJL2sslTfm" TargetMode="External"/><Relationship Id="rId231" Type="http://schemas.openxmlformats.org/officeDocument/2006/relationships/hyperlink" Target="https://kdocs.cn/l/cf7Yb5fApRIz" TargetMode="External"/><Relationship Id="rId230" Type="http://schemas.openxmlformats.org/officeDocument/2006/relationships/hyperlink" Target="https://kdocs.cn/l/ccEjzVEl3538" TargetMode="External"/><Relationship Id="rId23" Type="http://schemas.openxmlformats.org/officeDocument/2006/relationships/hyperlink" Target="https://kdocs.cn/l/csXyzSCsZDjC" TargetMode="External"/><Relationship Id="rId229" Type="http://schemas.openxmlformats.org/officeDocument/2006/relationships/hyperlink" Target="https://kdocs.cn/l/cjSFPHtxvZK9" TargetMode="External"/><Relationship Id="rId228" Type="http://schemas.openxmlformats.org/officeDocument/2006/relationships/hyperlink" Target="https://kdocs.cn/l/clunMS6Rn4DY" TargetMode="External"/><Relationship Id="rId227" Type="http://schemas.openxmlformats.org/officeDocument/2006/relationships/hyperlink" Target="https://kdocs.cn/l/culKzEfsNwEy" TargetMode="External"/><Relationship Id="rId226" Type="http://schemas.openxmlformats.org/officeDocument/2006/relationships/hyperlink" Target="https://kdocs.cn/l/cgdJMjVrOCvi" TargetMode="External"/><Relationship Id="rId225" Type="http://schemas.openxmlformats.org/officeDocument/2006/relationships/hyperlink" Target="https://kdocs.cn/l/crxMzVcRuNXG" TargetMode="External"/><Relationship Id="rId224" Type="http://schemas.openxmlformats.org/officeDocument/2006/relationships/hyperlink" Target="https://kdocs.cn/l/ce2iF1YMnm9D" TargetMode="External"/><Relationship Id="rId223" Type="http://schemas.openxmlformats.org/officeDocument/2006/relationships/hyperlink" Target="https://kdocs.cn/l/ciZZTmBKFqkw" TargetMode="External"/><Relationship Id="rId222" Type="http://schemas.openxmlformats.org/officeDocument/2006/relationships/hyperlink" Target="https://kdocs.cn/l/cjEKC1qFvQjm" TargetMode="External"/><Relationship Id="rId221" Type="http://schemas.openxmlformats.org/officeDocument/2006/relationships/hyperlink" Target="https://kdocs.cn/l/ceUCl9lE4o0P" TargetMode="External"/><Relationship Id="rId220" Type="http://schemas.openxmlformats.org/officeDocument/2006/relationships/hyperlink" Target="https://kdocs.cn/l/cgHvfT0q9y5u" TargetMode="External"/><Relationship Id="rId22" Type="http://schemas.openxmlformats.org/officeDocument/2006/relationships/hyperlink" Target="https://kdocs.cn/l/casp1N9OLpHQ" TargetMode="External"/><Relationship Id="rId219" Type="http://schemas.openxmlformats.org/officeDocument/2006/relationships/hyperlink" Target="https://kdocs.cn/l/cjpa1EEZHrgx" TargetMode="External"/><Relationship Id="rId218" Type="http://schemas.openxmlformats.org/officeDocument/2006/relationships/hyperlink" Target="https://kdocs.cn/l/ctl2r3dm4EDw" TargetMode="External"/><Relationship Id="rId217" Type="http://schemas.openxmlformats.org/officeDocument/2006/relationships/hyperlink" Target="https://kdocs.cn/l/cqjliAuXDZW2" TargetMode="External"/><Relationship Id="rId216" Type="http://schemas.openxmlformats.org/officeDocument/2006/relationships/hyperlink" Target="https://kdocs.cn/l/cu11cP9bWYGa" TargetMode="External"/><Relationship Id="rId215" Type="http://schemas.openxmlformats.org/officeDocument/2006/relationships/hyperlink" Target="https://kdocs.cn/l/cq13HxNQvAdY" TargetMode="External"/><Relationship Id="rId214" Type="http://schemas.openxmlformats.org/officeDocument/2006/relationships/hyperlink" Target="https://kdocs.cn/l/cuOwGWFJZZeS" TargetMode="External"/><Relationship Id="rId213" Type="http://schemas.openxmlformats.org/officeDocument/2006/relationships/hyperlink" Target="https://kdocs.cn/l/chbcpVNxcLVw" TargetMode="External"/><Relationship Id="rId212" Type="http://schemas.openxmlformats.org/officeDocument/2006/relationships/hyperlink" Target="https://kdocs.cn/l/csN6xUDRJZ9d" TargetMode="External"/><Relationship Id="rId211" Type="http://schemas.openxmlformats.org/officeDocument/2006/relationships/hyperlink" Target="https://kdocs.cn/l/cnBOZw3TECIc" TargetMode="External"/><Relationship Id="rId210" Type="http://schemas.openxmlformats.org/officeDocument/2006/relationships/hyperlink" Target="https://kdocs.cn/l/cdG5I7DaLutX" TargetMode="External"/><Relationship Id="rId21" Type="http://schemas.openxmlformats.org/officeDocument/2006/relationships/hyperlink" Target="https://kdocs.cn/l/csPahzBzh97Z" TargetMode="External"/><Relationship Id="rId209" Type="http://schemas.openxmlformats.org/officeDocument/2006/relationships/hyperlink" Target="https://kdocs.cn/l/cu4fIA7puZtE" TargetMode="External"/><Relationship Id="rId208" Type="http://schemas.openxmlformats.org/officeDocument/2006/relationships/hyperlink" Target="https://kdocs.cn/l/cgnJj9MQ62PQ" TargetMode="External"/><Relationship Id="rId207" Type="http://schemas.openxmlformats.org/officeDocument/2006/relationships/hyperlink" Target="https://kdocs.cn/l/cbaWOanRLB6a" TargetMode="External"/><Relationship Id="rId206" Type="http://schemas.openxmlformats.org/officeDocument/2006/relationships/hyperlink" Target="https://kdocs.cn/l/coB7rIhbw7LW" TargetMode="External"/><Relationship Id="rId205" Type="http://schemas.openxmlformats.org/officeDocument/2006/relationships/hyperlink" Target="https://kdocs.cn/l/cawStb4GYow5" TargetMode="External"/><Relationship Id="rId204" Type="http://schemas.openxmlformats.org/officeDocument/2006/relationships/hyperlink" Target="https://kdocs.cn/l/cnWH0cGTE06I" TargetMode="External"/><Relationship Id="rId203" Type="http://schemas.openxmlformats.org/officeDocument/2006/relationships/hyperlink" Target="https://kdocs.cn/l/clQvS1CLr4Ts" TargetMode="External"/><Relationship Id="rId202" Type="http://schemas.openxmlformats.org/officeDocument/2006/relationships/hyperlink" Target="https://kdocs.cn/l/cknht5eZ0EtY" TargetMode="External"/><Relationship Id="rId201" Type="http://schemas.openxmlformats.org/officeDocument/2006/relationships/hyperlink" Target="https://kdocs.cn/l/ctAo5tYy6Nf3" TargetMode="External"/><Relationship Id="rId200" Type="http://schemas.openxmlformats.org/officeDocument/2006/relationships/hyperlink" Target="https://kdocs.cn/l/cobOkY1TsDJa" TargetMode="External"/><Relationship Id="rId20" Type="http://schemas.openxmlformats.org/officeDocument/2006/relationships/hyperlink" Target="https://kdocs.cn/l/cs8GE7eSQXgS" TargetMode="External"/><Relationship Id="rId2" Type="http://schemas.openxmlformats.org/officeDocument/2006/relationships/hyperlink" Target="https://kdocs.cn/l/cmH8uIXxepx1" TargetMode="External"/><Relationship Id="rId199" Type="http://schemas.openxmlformats.org/officeDocument/2006/relationships/hyperlink" Target="https://kdocs.cn/l/cqD7aVNp4ta6" TargetMode="External"/><Relationship Id="rId198" Type="http://schemas.openxmlformats.org/officeDocument/2006/relationships/hyperlink" Target="https://kdocs.cn/l/ckJrZur35Zf5" TargetMode="External"/><Relationship Id="rId197" Type="http://schemas.openxmlformats.org/officeDocument/2006/relationships/hyperlink" Target="https://kdocs.cn/l/cuLc7tdUIkXg" TargetMode="External"/><Relationship Id="rId196" Type="http://schemas.openxmlformats.org/officeDocument/2006/relationships/hyperlink" Target="https://kdocs.cn/l/cmVhJ4fuyKcs" TargetMode="External"/><Relationship Id="rId195" Type="http://schemas.openxmlformats.org/officeDocument/2006/relationships/hyperlink" Target="https://kdocs.cn/l/cvwxFO8wsFuO" TargetMode="External"/><Relationship Id="rId194" Type="http://schemas.openxmlformats.org/officeDocument/2006/relationships/hyperlink" Target="https://kdocs.cn/l/cfqONikIoDLO" TargetMode="External"/><Relationship Id="rId193" Type="http://schemas.openxmlformats.org/officeDocument/2006/relationships/hyperlink" Target="https://kdocs.cn/l/ciCdlGom6xIT" TargetMode="External"/><Relationship Id="rId192" Type="http://schemas.openxmlformats.org/officeDocument/2006/relationships/hyperlink" Target="https://kdocs.cn/l/cdOCnEakMOZI" TargetMode="External"/><Relationship Id="rId191" Type="http://schemas.openxmlformats.org/officeDocument/2006/relationships/hyperlink" Target="https://kdocs.cn/l/cfYL0xmjG3sK" TargetMode="External"/><Relationship Id="rId190" Type="http://schemas.openxmlformats.org/officeDocument/2006/relationships/hyperlink" Target="https://kdocs.cn/l/cmiS44lkvPwp" TargetMode="External"/><Relationship Id="rId19" Type="http://schemas.openxmlformats.org/officeDocument/2006/relationships/hyperlink" Target="https://kdocs.cn/l/cep7EzDbwx7X" TargetMode="External"/><Relationship Id="rId189" Type="http://schemas.openxmlformats.org/officeDocument/2006/relationships/hyperlink" Target="https://kdocs.cn/l/cpH2jZhTGOYQ" TargetMode="External"/><Relationship Id="rId188" Type="http://schemas.openxmlformats.org/officeDocument/2006/relationships/hyperlink" Target="https://kdocs.cn/l/cbvmtz8RHN8a" TargetMode="External"/><Relationship Id="rId187" Type="http://schemas.openxmlformats.org/officeDocument/2006/relationships/hyperlink" Target="https://kdocs.cn/l/cuNY3sILJBAR" TargetMode="External"/><Relationship Id="rId186" Type="http://schemas.openxmlformats.org/officeDocument/2006/relationships/hyperlink" Target="https://kdocs.cn/l/cpo8bHFgUODl" TargetMode="External"/><Relationship Id="rId185" Type="http://schemas.openxmlformats.org/officeDocument/2006/relationships/hyperlink" Target="https://kdocs.cn/l/ciuMXLFaa0qx" TargetMode="External"/><Relationship Id="rId184" Type="http://schemas.openxmlformats.org/officeDocument/2006/relationships/hyperlink" Target="https://kdocs.cn/l/ce3NBE271Jzy" TargetMode="External"/><Relationship Id="rId183" Type="http://schemas.openxmlformats.org/officeDocument/2006/relationships/hyperlink" Target="https://kdocs.cn/l/cmnAFeHdZvRu" TargetMode="External"/><Relationship Id="rId182" Type="http://schemas.openxmlformats.org/officeDocument/2006/relationships/hyperlink" Target="https://kdocs.cn/l/cbdlNn1MJxG1" TargetMode="External"/><Relationship Id="rId181" Type="http://schemas.openxmlformats.org/officeDocument/2006/relationships/hyperlink" Target="https://kdocs.cn/l/chKYeTwCZrh2" TargetMode="External"/><Relationship Id="rId180" Type="http://schemas.openxmlformats.org/officeDocument/2006/relationships/hyperlink" Target="https://kdocs.cn/l/coa0M0awbib0" TargetMode="External"/><Relationship Id="rId18" Type="http://schemas.openxmlformats.org/officeDocument/2006/relationships/hyperlink" Target="https://kdocs.cn/l/cp2Mt9fZhWyM" TargetMode="External"/><Relationship Id="rId179" Type="http://schemas.openxmlformats.org/officeDocument/2006/relationships/hyperlink" Target="https://kdocs.cn/l/ce334L3ufeu0" TargetMode="External"/><Relationship Id="rId178" Type="http://schemas.openxmlformats.org/officeDocument/2006/relationships/hyperlink" Target="https://kdocs.cn/l/ctE8wusEmeeg" TargetMode="External"/><Relationship Id="rId177" Type="http://schemas.openxmlformats.org/officeDocument/2006/relationships/hyperlink" Target="https://kdocs.cn/l/cneCSlDFBIea" TargetMode="External"/><Relationship Id="rId176" Type="http://schemas.openxmlformats.org/officeDocument/2006/relationships/hyperlink" Target="https://kdocs.cn/l/ceeZoIwN6TCz" TargetMode="External"/><Relationship Id="rId175" Type="http://schemas.openxmlformats.org/officeDocument/2006/relationships/hyperlink" Target="https://kdocs.cn/l/cu270SdWO4R1" TargetMode="External"/><Relationship Id="rId174" Type="http://schemas.openxmlformats.org/officeDocument/2006/relationships/hyperlink" Target="https://kdocs.cn/l/chyqEwaTne1b" TargetMode="External"/><Relationship Id="rId173" Type="http://schemas.openxmlformats.org/officeDocument/2006/relationships/hyperlink" Target="https://kdocs.cn/l/cn5MYNXGlPax" TargetMode="External"/><Relationship Id="rId172" Type="http://schemas.openxmlformats.org/officeDocument/2006/relationships/hyperlink" Target="https://kdocs.cn/l/cgVOe1IMw5Lp" TargetMode="External"/><Relationship Id="rId171" Type="http://schemas.openxmlformats.org/officeDocument/2006/relationships/hyperlink" Target="https://kdocs.cn/l/ctI4gSpTd6EJ" TargetMode="External"/><Relationship Id="rId170" Type="http://schemas.openxmlformats.org/officeDocument/2006/relationships/hyperlink" Target="https://kdocs.cn/l/cmpYSLRKpMiV" TargetMode="External"/><Relationship Id="rId17" Type="http://schemas.openxmlformats.org/officeDocument/2006/relationships/hyperlink" Target="https://kdocs.cn/l/ceMYmk610vy7" TargetMode="External"/><Relationship Id="rId169" Type="http://schemas.openxmlformats.org/officeDocument/2006/relationships/hyperlink" Target="https://kdocs.cn/l/cnwX74UqhTBn" TargetMode="External"/><Relationship Id="rId168" Type="http://schemas.openxmlformats.org/officeDocument/2006/relationships/hyperlink" Target="https://kdocs.cn/l/ciSyVuIllX0N" TargetMode="External"/><Relationship Id="rId167" Type="http://schemas.openxmlformats.org/officeDocument/2006/relationships/hyperlink" Target="https://kdocs.cn/l/cqJCtBHOM4Y8" TargetMode="External"/><Relationship Id="rId166" Type="http://schemas.openxmlformats.org/officeDocument/2006/relationships/hyperlink" Target="https://kdocs.cn/l/cpLHC6T3S76e" TargetMode="External"/><Relationship Id="rId165" Type="http://schemas.openxmlformats.org/officeDocument/2006/relationships/hyperlink" Target="https://kdocs.cn/l/cdDwOBk3vOLY" TargetMode="External"/><Relationship Id="rId164" Type="http://schemas.openxmlformats.org/officeDocument/2006/relationships/hyperlink" Target="https://kdocs.cn/l/ckzgiYMM959j" TargetMode="External"/><Relationship Id="rId163" Type="http://schemas.openxmlformats.org/officeDocument/2006/relationships/hyperlink" Target="https://kdocs.cn/l/cswLkRD41gBN" TargetMode="External"/><Relationship Id="rId162" Type="http://schemas.openxmlformats.org/officeDocument/2006/relationships/hyperlink" Target="https://kdocs.cn/l/cqpRKgIyDFwv" TargetMode="External"/><Relationship Id="rId161" Type="http://schemas.openxmlformats.org/officeDocument/2006/relationships/hyperlink" Target="https://kdocs.cn/l/cpleykV6xiPh" TargetMode="External"/><Relationship Id="rId160" Type="http://schemas.openxmlformats.org/officeDocument/2006/relationships/hyperlink" Target="https://kdocs.cn/l/ckw13TihE0cU" TargetMode="External"/><Relationship Id="rId16" Type="http://schemas.openxmlformats.org/officeDocument/2006/relationships/hyperlink" Target="https://kdocs.cn/l/cfkQG0nPZ1ae" TargetMode="External"/><Relationship Id="rId159" Type="http://schemas.openxmlformats.org/officeDocument/2006/relationships/hyperlink" Target="https://kdocs.cn/l/cooJPOisOhVT" TargetMode="External"/><Relationship Id="rId158" Type="http://schemas.openxmlformats.org/officeDocument/2006/relationships/hyperlink" Target="https://kdocs.cn/l/cqdSXBd6Nep0" TargetMode="External"/><Relationship Id="rId157" Type="http://schemas.openxmlformats.org/officeDocument/2006/relationships/hyperlink" Target="https://kdocs.cn/l/ce3Q4JfqIwIp" TargetMode="External"/><Relationship Id="rId156" Type="http://schemas.openxmlformats.org/officeDocument/2006/relationships/hyperlink" Target="https://kdocs.cn/l/ccL1vV43ZVaD" TargetMode="External"/><Relationship Id="rId155" Type="http://schemas.openxmlformats.org/officeDocument/2006/relationships/hyperlink" Target="https://kdocs.cn/l/cgIidavmyKkE" TargetMode="External"/><Relationship Id="rId154" Type="http://schemas.openxmlformats.org/officeDocument/2006/relationships/hyperlink" Target="https://kdocs.cn/l/cgsHCyrwkSJf" TargetMode="External"/><Relationship Id="rId153" Type="http://schemas.openxmlformats.org/officeDocument/2006/relationships/hyperlink" Target="https://kdocs.cn/l/cspqoaVeq9Mr" TargetMode="External"/><Relationship Id="rId152" Type="http://schemas.openxmlformats.org/officeDocument/2006/relationships/hyperlink" Target="https://kdocs.cn/l/cdXk7B7y99Ts" TargetMode="External"/><Relationship Id="rId151" Type="http://schemas.openxmlformats.org/officeDocument/2006/relationships/hyperlink" Target="https://kdocs.cn/l/cbOZfa1Mnp3F" TargetMode="External"/><Relationship Id="rId150" Type="http://schemas.openxmlformats.org/officeDocument/2006/relationships/hyperlink" Target="https://kdocs.cn/l/cbwZJXJwlHm0" TargetMode="External"/><Relationship Id="rId15" Type="http://schemas.openxmlformats.org/officeDocument/2006/relationships/hyperlink" Target="https://kdocs.cn/l/cvhIOZQAKB3K" TargetMode="External"/><Relationship Id="rId149" Type="http://schemas.openxmlformats.org/officeDocument/2006/relationships/hyperlink" Target="https://kdocs.cn/l/cjdDHWPvib9r" TargetMode="External"/><Relationship Id="rId148" Type="http://schemas.openxmlformats.org/officeDocument/2006/relationships/hyperlink" Target="https://kdocs.cn/l/ciJh3EcheJDE" TargetMode="External"/><Relationship Id="rId147" Type="http://schemas.openxmlformats.org/officeDocument/2006/relationships/hyperlink" Target="https://kdocs.cn/l/cjzzzClUkisp" TargetMode="External"/><Relationship Id="rId146" Type="http://schemas.openxmlformats.org/officeDocument/2006/relationships/hyperlink" Target="https://kdocs.cn/l/cjXmuAW4WOjh" TargetMode="External"/><Relationship Id="rId145" Type="http://schemas.openxmlformats.org/officeDocument/2006/relationships/hyperlink" Target="https://kdocs.cn/l/ceA7A2qbMjo3" TargetMode="External"/><Relationship Id="rId144" Type="http://schemas.openxmlformats.org/officeDocument/2006/relationships/hyperlink" Target="https://kdocs.cn/l/cdXStTdjISfh" TargetMode="External"/><Relationship Id="rId143" Type="http://schemas.openxmlformats.org/officeDocument/2006/relationships/hyperlink" Target="https://kdocs.cn/l/crULm8hGlEJU" TargetMode="External"/><Relationship Id="rId142" Type="http://schemas.openxmlformats.org/officeDocument/2006/relationships/hyperlink" Target="https://kdocs.cn/l/ckQdfHl9sZSX" TargetMode="External"/><Relationship Id="rId141" Type="http://schemas.openxmlformats.org/officeDocument/2006/relationships/hyperlink" Target="https://kdocs.cn/l/co5cYWwsKuI2" TargetMode="External"/><Relationship Id="rId140" Type="http://schemas.openxmlformats.org/officeDocument/2006/relationships/hyperlink" Target="https://kdocs.cn/l/cdBL9KvQOAOs" TargetMode="External"/><Relationship Id="rId14" Type="http://schemas.openxmlformats.org/officeDocument/2006/relationships/hyperlink" Target="https://kdocs.cn/l/cpdjbs9XzfIp" TargetMode="External"/><Relationship Id="rId139" Type="http://schemas.openxmlformats.org/officeDocument/2006/relationships/hyperlink" Target="https://kdocs.cn/l/cfMU13sJMu8y" TargetMode="External"/><Relationship Id="rId138" Type="http://schemas.openxmlformats.org/officeDocument/2006/relationships/hyperlink" Target="https://kdocs.cn/l/caSRvGI9h0bN" TargetMode="External"/><Relationship Id="rId137" Type="http://schemas.openxmlformats.org/officeDocument/2006/relationships/hyperlink" Target="https://kdocs.cn/l/ceI80JpTDIeK" TargetMode="External"/><Relationship Id="rId136" Type="http://schemas.openxmlformats.org/officeDocument/2006/relationships/hyperlink" Target="https://kdocs.cn/l/ckyFlPTGlinO" TargetMode="External"/><Relationship Id="rId135" Type="http://schemas.openxmlformats.org/officeDocument/2006/relationships/hyperlink" Target="https://kdocs.cn/l/clVfpTMuAFDl" TargetMode="External"/><Relationship Id="rId134" Type="http://schemas.openxmlformats.org/officeDocument/2006/relationships/hyperlink" Target="https://kdocs.cn/l/cdGmCIeDj8mE" TargetMode="External"/><Relationship Id="rId133" Type="http://schemas.openxmlformats.org/officeDocument/2006/relationships/hyperlink" Target="https://kdocs.cn/l/cdg57Gn5HmN0" TargetMode="External"/><Relationship Id="rId132" Type="http://schemas.openxmlformats.org/officeDocument/2006/relationships/hyperlink" Target="https://kdocs.cn/l/ck3CtonDYl8o" TargetMode="External"/><Relationship Id="rId131" Type="http://schemas.openxmlformats.org/officeDocument/2006/relationships/hyperlink" Target="https://kdocs.cn/l/cl2ClDxl1wpz" TargetMode="External"/><Relationship Id="rId130" Type="http://schemas.openxmlformats.org/officeDocument/2006/relationships/hyperlink" Target="https://kdocs.cn/l/cazmgHNKmSx8" TargetMode="External"/><Relationship Id="rId13" Type="http://schemas.openxmlformats.org/officeDocument/2006/relationships/hyperlink" Target="https://kdocs.cn/l/cpNd6WiBYuQR" TargetMode="External"/><Relationship Id="rId129" Type="http://schemas.openxmlformats.org/officeDocument/2006/relationships/hyperlink" Target="https://kdocs.cn/l/coQpaxYuMHjl" TargetMode="External"/><Relationship Id="rId128" Type="http://schemas.openxmlformats.org/officeDocument/2006/relationships/hyperlink" Target="https://kdocs.cn/l/crvcNU5z4Tkt" TargetMode="External"/><Relationship Id="rId127" Type="http://schemas.openxmlformats.org/officeDocument/2006/relationships/hyperlink" Target="https://kdocs.cn/l/ca5SvApNaw05" TargetMode="External"/><Relationship Id="rId126" Type="http://schemas.openxmlformats.org/officeDocument/2006/relationships/hyperlink" Target="https://kdocs.cn/l/cePLmZWmlMlH" TargetMode="External"/><Relationship Id="rId125" Type="http://schemas.openxmlformats.org/officeDocument/2006/relationships/hyperlink" Target="https://kdocs.cn/l/cqKaG3Rm8vrP" TargetMode="External"/><Relationship Id="rId124" Type="http://schemas.openxmlformats.org/officeDocument/2006/relationships/hyperlink" Target="https://kdocs.cn/l/ct9HQmVAxjmz" TargetMode="External"/><Relationship Id="rId123" Type="http://schemas.openxmlformats.org/officeDocument/2006/relationships/hyperlink" Target="https://kdocs.cn/l/cf2MIakmjcLj" TargetMode="External"/><Relationship Id="rId122" Type="http://schemas.openxmlformats.org/officeDocument/2006/relationships/hyperlink" Target="https://kdocs.cn/l/cmYTtN8UjjV7" TargetMode="External"/><Relationship Id="rId121" Type="http://schemas.openxmlformats.org/officeDocument/2006/relationships/hyperlink" Target="https://kdocs.cn/l/cdZ6qI2RuKsZ" TargetMode="External"/><Relationship Id="rId120" Type="http://schemas.openxmlformats.org/officeDocument/2006/relationships/hyperlink" Target="https://kdocs.cn/l/cctTmeYbeo9Y" TargetMode="External"/><Relationship Id="rId12" Type="http://schemas.openxmlformats.org/officeDocument/2006/relationships/hyperlink" Target="https://kdocs.cn/l/ckuf38Zfnw2o" TargetMode="External"/><Relationship Id="rId119" Type="http://schemas.openxmlformats.org/officeDocument/2006/relationships/hyperlink" Target="https://kdocs.cn/l/cjlPj7aupQ7I" TargetMode="External"/><Relationship Id="rId118" Type="http://schemas.openxmlformats.org/officeDocument/2006/relationships/hyperlink" Target="https://kdocs.cn/l/cvzvPxQmM4T1" TargetMode="External"/><Relationship Id="rId117" Type="http://schemas.openxmlformats.org/officeDocument/2006/relationships/hyperlink" Target="https://kdocs.cn/l/cb06RyIO4slG" TargetMode="External"/><Relationship Id="rId116" Type="http://schemas.openxmlformats.org/officeDocument/2006/relationships/hyperlink" Target="https://kdocs.cn/l/cjTdBNC0Bm1a" TargetMode="External"/><Relationship Id="rId115" Type="http://schemas.openxmlformats.org/officeDocument/2006/relationships/hyperlink" Target="https://kdocs.cn/l/cv6rcg9uKxP2" TargetMode="External"/><Relationship Id="rId114" Type="http://schemas.openxmlformats.org/officeDocument/2006/relationships/hyperlink" Target="https://kdocs.cn/l/ccIisxA6AJ01" TargetMode="External"/><Relationship Id="rId113" Type="http://schemas.openxmlformats.org/officeDocument/2006/relationships/hyperlink" Target="https://kdocs.cn/l/cm6Lr8s7yH8i" TargetMode="External"/><Relationship Id="rId112" Type="http://schemas.openxmlformats.org/officeDocument/2006/relationships/hyperlink" Target="https://kdocs.cn/l/cmXpthMPv4PI" TargetMode="External"/><Relationship Id="rId111" Type="http://schemas.openxmlformats.org/officeDocument/2006/relationships/hyperlink" Target="https://kdocs.cn/l/cnMJOarUgPno" TargetMode="External"/><Relationship Id="rId110" Type="http://schemas.openxmlformats.org/officeDocument/2006/relationships/hyperlink" Target="https://kdocs.cn/l/cbFsZS6G30kI" TargetMode="External"/><Relationship Id="rId11" Type="http://schemas.openxmlformats.org/officeDocument/2006/relationships/hyperlink" Target="https://kdocs.cn/l/csCdrth7cxjG" TargetMode="External"/><Relationship Id="rId109" Type="http://schemas.openxmlformats.org/officeDocument/2006/relationships/hyperlink" Target="https://kdocs.cn/l/ccY65lmxuZ4O" TargetMode="External"/><Relationship Id="rId108" Type="http://schemas.openxmlformats.org/officeDocument/2006/relationships/hyperlink" Target="https://kdocs.cn/l/cgRKObiJ6Y8G" TargetMode="External"/><Relationship Id="rId107" Type="http://schemas.openxmlformats.org/officeDocument/2006/relationships/hyperlink" Target="https://kdocs.cn/l/crviCHcqu3xL" TargetMode="External"/><Relationship Id="rId106" Type="http://schemas.openxmlformats.org/officeDocument/2006/relationships/hyperlink" Target="https://kdocs.cn/l/ctoYvcxKmZvW" TargetMode="External"/><Relationship Id="rId105" Type="http://schemas.openxmlformats.org/officeDocument/2006/relationships/hyperlink" Target="https://kdocs.cn/l/csZqd32BcmDh" TargetMode="External"/><Relationship Id="rId104" Type="http://schemas.openxmlformats.org/officeDocument/2006/relationships/hyperlink" Target="https://kdocs.cn/l/ckzbPKXwGeWw" TargetMode="External"/><Relationship Id="rId103" Type="http://schemas.openxmlformats.org/officeDocument/2006/relationships/hyperlink" Target="https://kdocs.cn/l/chx6ZMH4onPH" TargetMode="External"/><Relationship Id="rId102" Type="http://schemas.openxmlformats.org/officeDocument/2006/relationships/hyperlink" Target="https://kdocs.cn/l/cp45DOF1ZgrR" TargetMode="External"/><Relationship Id="rId101" Type="http://schemas.openxmlformats.org/officeDocument/2006/relationships/hyperlink" Target="https://kdocs.cn/l/cry6PcYmrUSD" TargetMode="External"/><Relationship Id="rId100" Type="http://schemas.openxmlformats.org/officeDocument/2006/relationships/hyperlink" Target="https://kdocs.cn/l/cmkHVfGCrdPt" TargetMode="External"/><Relationship Id="rId10" Type="http://schemas.openxmlformats.org/officeDocument/2006/relationships/hyperlink" Target="https://kdocs.cn/l/cjq0mM4cEzDO" TargetMode="External"/><Relationship Id="rId1" Type="http://schemas.openxmlformats.org/officeDocument/2006/relationships/hyperlink" Target="https://kdocs.cn/l/cdaLN0nBqP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52"/>
  <sheetViews>
    <sheetView tabSelected="1" zoomScale="70" zoomScaleNormal="70" workbookViewId="0">
      <pane ySplit="1" topLeftCell="A2" activePane="bottomLeft" state="frozen"/>
      <selection/>
      <selection pane="bottomLeft" activeCell="V181" sqref="V181"/>
    </sheetView>
  </sheetViews>
  <sheetFormatPr defaultColWidth="9" defaultRowHeight="16.8"/>
  <cols>
    <col min="1" max="1" width="6.17307692307692" style="18" customWidth="1"/>
    <col min="2" max="2" width="11.5" style="18"/>
    <col min="3" max="4" width="9" style="18"/>
    <col min="5" max="5" width="21.75" style="1" customWidth="1"/>
    <col min="6" max="6" width="14.875" style="18"/>
    <col min="7" max="7" width="14.875" style="18" customWidth="1"/>
    <col min="8" max="8" width="12.0576923076923" style="18" customWidth="1"/>
    <col min="9" max="12" width="9" style="18"/>
    <col min="13" max="14" width="9" style="18" customWidth="1"/>
    <col min="15" max="17" width="11.5" style="1" customWidth="1"/>
    <col min="18" max="18" width="14.875" style="18" customWidth="1"/>
    <col min="19" max="19" width="12.625" style="18" customWidth="1"/>
    <col min="20" max="20" width="13.75" style="18" customWidth="1"/>
    <col min="21" max="23" width="9" style="18" customWidth="1"/>
    <col min="24" max="26" width="11.4711538461538" style="18" customWidth="1"/>
    <col min="27" max="27" width="12.125" style="18" customWidth="1"/>
    <col min="28" max="28" width="11.5" style="18" customWidth="1"/>
    <col min="29" max="29" width="14.875" style="18"/>
    <col min="30" max="30" width="14.875" style="18" customWidth="1"/>
    <col min="31" max="31" width="13.75" style="16"/>
    <col min="32" max="32" width="9" style="18" customWidth="1"/>
    <col min="33" max="33" width="12" style="18" customWidth="1"/>
    <col min="34" max="37" width="9" style="18" customWidth="1"/>
    <col min="38" max="39" width="9" style="1"/>
    <col min="40" max="40" width="9" style="18" customWidth="1"/>
    <col min="41" max="41" width="9" style="1"/>
    <col min="42" max="16384" width="9" style="18"/>
  </cols>
  <sheetData>
    <row r="1" s="1" customFormat="1" ht="51" spans="1:41">
      <c r="A1" s="1" t="s">
        <v>0</v>
      </c>
      <c r="B1" s="1" t="s">
        <v>1</v>
      </c>
      <c r="C1" s="1" t="s">
        <v>2</v>
      </c>
      <c r="D1" s="1" t="s">
        <v>3</v>
      </c>
      <c r="E1" s="1" t="s">
        <v>4</v>
      </c>
      <c r="F1" s="1" t="s">
        <v>5</v>
      </c>
      <c r="G1" s="1" t="s">
        <v>6</v>
      </c>
      <c r="H1" s="26" t="s">
        <v>7</v>
      </c>
      <c r="I1" s="1" t="s">
        <v>8</v>
      </c>
      <c r="J1" s="1" t="s">
        <v>9</v>
      </c>
      <c r="K1" s="1" t="s">
        <v>10</v>
      </c>
      <c r="L1" s="1" t="s">
        <v>11</v>
      </c>
      <c r="M1" s="1" t="s">
        <v>12</v>
      </c>
      <c r="N1" s="1" t="s">
        <v>13</v>
      </c>
      <c r="O1" s="27" t="s">
        <v>14</v>
      </c>
      <c r="P1" s="1" t="s">
        <v>15</v>
      </c>
      <c r="Q1" s="1" t="s">
        <v>16</v>
      </c>
      <c r="R1" s="1" t="s">
        <v>17</v>
      </c>
      <c r="S1" s="1" t="s">
        <v>18</v>
      </c>
      <c r="T1" s="1" t="s">
        <v>19</v>
      </c>
      <c r="U1" s="1" t="s">
        <v>20</v>
      </c>
      <c r="V1" s="1" t="s">
        <v>21</v>
      </c>
      <c r="W1" s="1" t="s">
        <v>22</v>
      </c>
      <c r="X1" s="1" t="s">
        <v>23</v>
      </c>
      <c r="Y1" s="1" t="s">
        <v>24</v>
      </c>
      <c r="Z1" s="1" t="s">
        <v>25</v>
      </c>
      <c r="AA1" s="1" t="s">
        <v>26</v>
      </c>
      <c r="AB1" s="14" t="s">
        <v>27</v>
      </c>
      <c r="AC1" s="1" t="s">
        <v>28</v>
      </c>
      <c r="AD1" s="1" t="s">
        <v>29</v>
      </c>
      <c r="AE1" s="1" t="s">
        <v>30</v>
      </c>
      <c r="AF1" s="30" t="s">
        <v>31</v>
      </c>
      <c r="AG1" s="30" t="s">
        <v>32</v>
      </c>
      <c r="AH1" s="1" t="s">
        <v>33</v>
      </c>
      <c r="AI1" s="1" t="s">
        <v>34</v>
      </c>
      <c r="AJ1" s="1" t="s">
        <v>35</v>
      </c>
      <c r="AK1" s="31" t="s">
        <v>36</v>
      </c>
      <c r="AL1" s="1" t="s">
        <v>37</v>
      </c>
      <c r="AM1" s="1" t="s">
        <v>38</v>
      </c>
      <c r="AN1" s="1" t="s">
        <v>39</v>
      </c>
      <c r="AO1" s="1" t="s">
        <v>40</v>
      </c>
    </row>
    <row r="2" s="1" customFormat="1" ht="101" hidden="1" spans="1:39">
      <c r="A2" s="1">
        <v>1</v>
      </c>
      <c r="B2" s="5">
        <v>45797</v>
      </c>
      <c r="C2" s="1" t="s">
        <v>41</v>
      </c>
      <c r="D2" s="1" t="s">
        <v>42</v>
      </c>
      <c r="E2" s="1" t="s">
        <v>43</v>
      </c>
      <c r="F2" s="1">
        <v>1588937.61</v>
      </c>
      <c r="H2" s="1" t="s">
        <v>44</v>
      </c>
      <c r="I2" s="1" t="s">
        <v>45</v>
      </c>
      <c r="J2" s="1" t="s">
        <v>46</v>
      </c>
      <c r="K2" s="1" t="s">
        <v>47</v>
      </c>
      <c r="L2" s="1" t="s">
        <v>48</v>
      </c>
      <c r="M2" s="1">
        <v>21</v>
      </c>
      <c r="N2" s="1">
        <v>3</v>
      </c>
      <c r="O2" s="1" t="s">
        <v>49</v>
      </c>
      <c r="P2" s="1" t="s">
        <v>50</v>
      </c>
      <c r="Q2" s="1" t="s">
        <v>51</v>
      </c>
      <c r="R2" s="1">
        <v>822012.26</v>
      </c>
      <c r="S2" s="1">
        <v>866693.96</v>
      </c>
      <c r="T2" s="1">
        <v>961832.61</v>
      </c>
      <c r="AA2" s="1" t="s">
        <v>49</v>
      </c>
      <c r="AC2" s="1">
        <v>822012.26</v>
      </c>
      <c r="AE2" s="14">
        <f t="shared" ref="AE2:AE9" si="0">(1-AC2/F2)</f>
        <v>0.482665489930722</v>
      </c>
      <c r="AL2" s="32" t="s">
        <v>52</v>
      </c>
      <c r="AM2" s="33" t="s">
        <v>53</v>
      </c>
    </row>
    <row r="3" s="1" customFormat="1" ht="101" hidden="1" spans="1:39">
      <c r="A3" s="1">
        <v>2</v>
      </c>
      <c r="B3" s="5">
        <v>45797</v>
      </c>
      <c r="C3" s="1" t="s">
        <v>41</v>
      </c>
      <c r="D3" s="1" t="s">
        <v>42</v>
      </c>
      <c r="E3" s="1" t="s">
        <v>54</v>
      </c>
      <c r="F3" s="1">
        <v>2670224.94</v>
      </c>
      <c r="H3" s="1" t="s">
        <v>44</v>
      </c>
      <c r="I3" s="1" t="s">
        <v>45</v>
      </c>
      <c r="J3" s="1" t="s">
        <v>46</v>
      </c>
      <c r="K3" s="1" t="s">
        <v>47</v>
      </c>
      <c r="L3" s="1" t="s">
        <v>48</v>
      </c>
      <c r="M3" s="1">
        <v>19</v>
      </c>
      <c r="N3" s="1">
        <v>2</v>
      </c>
      <c r="O3" s="1" t="s">
        <v>55</v>
      </c>
      <c r="P3" s="1" t="s">
        <v>50</v>
      </c>
      <c r="Q3" s="1" t="s">
        <v>56</v>
      </c>
      <c r="R3" s="1">
        <v>1268356.85</v>
      </c>
      <c r="S3" s="1">
        <v>1351814.72</v>
      </c>
      <c r="T3" s="1">
        <v>1548666.66</v>
      </c>
      <c r="AA3" s="1" t="s">
        <v>55</v>
      </c>
      <c r="AC3" s="1">
        <v>1268356.85</v>
      </c>
      <c r="AE3" s="14">
        <f t="shared" si="0"/>
        <v>0.524999998689249</v>
      </c>
      <c r="AL3" s="33" t="s">
        <v>57</v>
      </c>
      <c r="AM3" s="33" t="s">
        <v>58</v>
      </c>
    </row>
    <row r="4" s="1" customFormat="1" ht="101" hidden="1" spans="1:39">
      <c r="A4" s="1">
        <v>3</v>
      </c>
      <c r="B4" s="5">
        <v>45793</v>
      </c>
      <c r="C4" s="1" t="s">
        <v>41</v>
      </c>
      <c r="D4" s="1" t="s">
        <v>42</v>
      </c>
      <c r="E4" s="1" t="s">
        <v>59</v>
      </c>
      <c r="F4" s="1">
        <v>4559995.15</v>
      </c>
      <c r="H4" s="1" t="s">
        <v>44</v>
      </c>
      <c r="I4" s="1" t="s">
        <v>45</v>
      </c>
      <c r="J4" s="1" t="s">
        <v>46</v>
      </c>
      <c r="K4" s="1" t="s">
        <v>47</v>
      </c>
      <c r="L4" s="1" t="s">
        <v>48</v>
      </c>
      <c r="M4" s="1">
        <v>47</v>
      </c>
      <c r="N4" s="1">
        <v>5</v>
      </c>
      <c r="O4" s="1" t="s">
        <v>60</v>
      </c>
      <c r="P4" s="1" t="s">
        <v>61</v>
      </c>
      <c r="Q4" s="1" t="s">
        <v>50</v>
      </c>
      <c r="R4" s="1">
        <v>2161437.7</v>
      </c>
      <c r="S4" s="10">
        <v>2450000</v>
      </c>
      <c r="T4" s="1">
        <v>2498877.34</v>
      </c>
      <c r="AA4" s="1" t="s">
        <v>60</v>
      </c>
      <c r="AC4" s="1">
        <v>2161437.7</v>
      </c>
      <c r="AE4" s="14">
        <f t="shared" si="0"/>
        <v>0.526000000241228</v>
      </c>
      <c r="AL4" s="33" t="s">
        <v>62</v>
      </c>
      <c r="AM4" s="33" t="s">
        <v>63</v>
      </c>
    </row>
    <row r="5" s="1" customFormat="1" ht="101" hidden="1" spans="1:39">
      <c r="A5" s="1">
        <v>4</v>
      </c>
      <c r="B5" s="5">
        <v>45793</v>
      </c>
      <c r="C5" s="1" t="s">
        <v>41</v>
      </c>
      <c r="D5" s="1" t="s">
        <v>42</v>
      </c>
      <c r="E5" s="1" t="s">
        <v>64</v>
      </c>
      <c r="F5" s="1">
        <v>2489260.25</v>
      </c>
      <c r="H5" s="1" t="s">
        <v>44</v>
      </c>
      <c r="I5" s="1" t="s">
        <v>45</v>
      </c>
      <c r="J5" s="1" t="s">
        <v>46</v>
      </c>
      <c r="K5" s="1" t="s">
        <v>47</v>
      </c>
      <c r="L5" s="1" t="s">
        <v>48</v>
      </c>
      <c r="M5" s="1">
        <v>41</v>
      </c>
      <c r="N5" s="1">
        <v>3</v>
      </c>
      <c r="O5" s="1" t="s">
        <v>65</v>
      </c>
      <c r="P5" s="1" t="s">
        <v>50</v>
      </c>
      <c r="Q5" s="1" t="s">
        <v>66</v>
      </c>
      <c r="R5" s="1">
        <v>1296073.1</v>
      </c>
      <c r="S5" s="1">
        <v>1358888.88</v>
      </c>
      <c r="T5" s="1">
        <v>1521900.88</v>
      </c>
      <c r="AA5" s="15" t="s">
        <v>65</v>
      </c>
      <c r="AC5" s="1">
        <v>1296073.1</v>
      </c>
      <c r="AE5" s="14">
        <f t="shared" si="0"/>
        <v>0.479334031064048</v>
      </c>
      <c r="AL5" s="33" t="s">
        <v>67</v>
      </c>
      <c r="AM5" s="33" t="s">
        <v>68</v>
      </c>
    </row>
    <row r="6" s="1" customFormat="1" ht="101" hidden="1" spans="1:39">
      <c r="A6" s="1">
        <v>5</v>
      </c>
      <c r="B6" s="5">
        <v>45793</v>
      </c>
      <c r="C6" s="1" t="s">
        <v>41</v>
      </c>
      <c r="D6" s="1" t="s">
        <v>42</v>
      </c>
      <c r="E6" s="1" t="s">
        <v>69</v>
      </c>
      <c r="F6" s="1">
        <v>8133357.59</v>
      </c>
      <c r="H6" s="1" t="s">
        <v>44</v>
      </c>
      <c r="I6" s="1" t="s">
        <v>45</v>
      </c>
      <c r="J6" s="1" t="s">
        <v>46</v>
      </c>
      <c r="K6" s="1" t="s">
        <v>47</v>
      </c>
      <c r="L6" s="1" t="s">
        <v>48</v>
      </c>
      <c r="M6" s="1">
        <v>62</v>
      </c>
      <c r="N6" s="1">
        <v>5</v>
      </c>
      <c r="O6" s="1" t="s">
        <v>70</v>
      </c>
      <c r="P6" s="1" t="s">
        <v>60</v>
      </c>
      <c r="Q6" s="1" t="s">
        <v>71</v>
      </c>
      <c r="R6" s="1">
        <v>3716944.42</v>
      </c>
      <c r="S6" s="1">
        <v>3830811.42</v>
      </c>
      <c r="T6" s="1">
        <v>4195155.05</v>
      </c>
      <c r="V6" s="1" t="s">
        <v>72</v>
      </c>
      <c r="AA6" s="1" t="s">
        <v>70</v>
      </c>
      <c r="AC6" s="1">
        <v>3716944.42</v>
      </c>
      <c r="AE6" s="14">
        <f t="shared" si="0"/>
        <v>0.542999999831558</v>
      </c>
      <c r="AL6" s="33" t="s">
        <v>73</v>
      </c>
      <c r="AM6" s="33" t="s">
        <v>74</v>
      </c>
    </row>
    <row r="7" s="1" customFormat="1" ht="84" hidden="1" spans="1:39">
      <c r="A7" s="1">
        <v>6</v>
      </c>
      <c r="B7" s="5">
        <v>45785</v>
      </c>
      <c r="C7" s="1" t="s">
        <v>41</v>
      </c>
      <c r="D7" s="1" t="s">
        <v>42</v>
      </c>
      <c r="E7" s="1" t="s">
        <v>75</v>
      </c>
      <c r="F7" s="1">
        <v>8436387.14</v>
      </c>
      <c r="H7" s="1" t="s">
        <v>76</v>
      </c>
      <c r="I7" s="1" t="s">
        <v>45</v>
      </c>
      <c r="J7" s="1" t="s">
        <v>46</v>
      </c>
      <c r="K7" s="1" t="s">
        <v>47</v>
      </c>
      <c r="L7" s="1" t="s">
        <v>77</v>
      </c>
      <c r="M7" s="1">
        <v>296</v>
      </c>
      <c r="N7" s="1">
        <v>0</v>
      </c>
      <c r="O7" s="1" t="s">
        <v>78</v>
      </c>
      <c r="P7" s="1" t="s">
        <v>79</v>
      </c>
      <c r="Q7" s="1" t="s">
        <v>80</v>
      </c>
      <c r="R7" s="1">
        <v>6547408.56</v>
      </c>
      <c r="S7" s="1">
        <v>6547477.75</v>
      </c>
      <c r="T7" s="1">
        <v>6549871.22</v>
      </c>
      <c r="AA7" s="1" t="s">
        <v>78</v>
      </c>
      <c r="AC7" s="1">
        <v>6547408.56</v>
      </c>
      <c r="AE7" s="14">
        <f t="shared" si="0"/>
        <v>0.223908475115333</v>
      </c>
      <c r="AG7" s="14">
        <v>-0.005</v>
      </c>
      <c r="AL7" s="33" t="s">
        <v>81</v>
      </c>
      <c r="AM7" s="33" t="s">
        <v>82</v>
      </c>
    </row>
    <row r="8" s="1" customFormat="1" ht="68" hidden="1" spans="1:39">
      <c r="A8" s="1">
        <v>7</v>
      </c>
      <c r="B8" s="5">
        <v>45776</v>
      </c>
      <c r="C8" s="1" t="s">
        <v>41</v>
      </c>
      <c r="D8" s="1" t="s">
        <v>42</v>
      </c>
      <c r="E8" s="1" t="s">
        <v>83</v>
      </c>
      <c r="F8" s="9">
        <v>14158033.5</v>
      </c>
      <c r="G8" s="9"/>
      <c r="H8" s="1" t="s">
        <v>84</v>
      </c>
      <c r="I8" s="1" t="s">
        <v>85</v>
      </c>
      <c r="J8" s="1" t="s">
        <v>46</v>
      </c>
      <c r="K8" s="1" t="s">
        <v>47</v>
      </c>
      <c r="L8" s="1" t="s">
        <v>77</v>
      </c>
      <c r="M8" s="1">
        <v>264</v>
      </c>
      <c r="N8" s="1">
        <v>0</v>
      </c>
      <c r="O8" s="1" t="s">
        <v>86</v>
      </c>
      <c r="P8" s="1" t="s">
        <v>87</v>
      </c>
      <c r="Q8" s="1" t="s">
        <v>51</v>
      </c>
      <c r="R8" s="1">
        <v>10472091.34</v>
      </c>
      <c r="S8" s="1">
        <v>10472687.08</v>
      </c>
      <c r="T8" s="1">
        <v>10468531.88</v>
      </c>
      <c r="AA8" s="1" t="s">
        <v>86</v>
      </c>
      <c r="AC8" s="1">
        <v>10472091.34</v>
      </c>
      <c r="AE8" s="14">
        <f t="shared" si="0"/>
        <v>0.260342805376184</v>
      </c>
      <c r="AG8" s="29">
        <v>0</v>
      </c>
      <c r="AL8" s="32" t="s">
        <v>88</v>
      </c>
      <c r="AM8" s="33" t="s">
        <v>89</v>
      </c>
    </row>
    <row r="9" s="1" customFormat="1" ht="152" hidden="1" spans="1:39">
      <c r="A9" s="1">
        <v>8</v>
      </c>
      <c r="B9" s="5">
        <v>45758</v>
      </c>
      <c r="C9" s="1" t="s">
        <v>41</v>
      </c>
      <c r="D9" s="1" t="s">
        <v>42</v>
      </c>
      <c r="E9" s="1" t="s">
        <v>90</v>
      </c>
      <c r="F9" s="9">
        <v>1400526.1</v>
      </c>
      <c r="G9" s="9"/>
      <c r="H9" s="1" t="s">
        <v>91</v>
      </c>
      <c r="I9" s="1" t="s">
        <v>92</v>
      </c>
      <c r="J9" s="1" t="s">
        <v>46</v>
      </c>
      <c r="K9" s="1" t="s">
        <v>47</v>
      </c>
      <c r="L9" s="1" t="s">
        <v>77</v>
      </c>
      <c r="M9" s="1">
        <v>102</v>
      </c>
      <c r="N9" s="1">
        <v>0</v>
      </c>
      <c r="O9" s="1" t="s">
        <v>93</v>
      </c>
      <c r="P9" s="1" t="s">
        <v>94</v>
      </c>
      <c r="Q9" s="1" t="s">
        <v>95</v>
      </c>
      <c r="R9" s="1">
        <v>1161421.66</v>
      </c>
      <c r="S9" s="1">
        <v>1160756.03</v>
      </c>
      <c r="T9" s="1">
        <v>1160606.06</v>
      </c>
      <c r="AA9" s="1" t="s">
        <v>93</v>
      </c>
      <c r="AC9" s="1">
        <v>1161421.66</v>
      </c>
      <c r="AE9" s="14">
        <f t="shared" si="0"/>
        <v>0.170724729799752</v>
      </c>
      <c r="AG9" s="29">
        <v>0</v>
      </c>
      <c r="AL9" s="33" t="s">
        <v>96</v>
      </c>
      <c r="AM9" s="33" t="s">
        <v>97</v>
      </c>
    </row>
    <row r="10" s="1" customFormat="1" ht="303" hidden="1" spans="1:39">
      <c r="A10" s="1">
        <v>9</v>
      </c>
      <c r="B10" s="5">
        <v>45758</v>
      </c>
      <c r="C10" s="1" t="s">
        <v>41</v>
      </c>
      <c r="D10" s="1" t="s">
        <v>42</v>
      </c>
      <c r="E10" s="1" t="s">
        <v>98</v>
      </c>
      <c r="F10" s="1">
        <v>9200000</v>
      </c>
      <c r="G10" s="1">
        <v>240000</v>
      </c>
      <c r="H10" s="1" t="s">
        <v>76</v>
      </c>
      <c r="I10" s="1" t="s">
        <v>45</v>
      </c>
      <c r="J10" s="1" t="s">
        <v>99</v>
      </c>
      <c r="K10" s="1" t="s">
        <v>100</v>
      </c>
      <c r="L10" s="1" t="s">
        <v>101</v>
      </c>
      <c r="M10" s="1">
        <v>17</v>
      </c>
      <c r="N10" s="1">
        <v>0</v>
      </c>
      <c r="O10" s="1" t="s">
        <v>102</v>
      </c>
      <c r="P10" s="1" t="s">
        <v>103</v>
      </c>
      <c r="Q10" s="1" t="s">
        <v>104</v>
      </c>
      <c r="X10" s="14">
        <v>0.1384</v>
      </c>
      <c r="Y10" s="14"/>
      <c r="Z10" s="14">
        <v>0.1779</v>
      </c>
      <c r="AA10" s="1" t="s">
        <v>105</v>
      </c>
      <c r="AD10" s="14">
        <v>0.1384</v>
      </c>
      <c r="AE10" s="14">
        <v>0.1384</v>
      </c>
      <c r="AG10" s="14">
        <v>-0.005</v>
      </c>
      <c r="AL10" s="33" t="s">
        <v>106</v>
      </c>
      <c r="AM10" s="33" t="s">
        <v>107</v>
      </c>
    </row>
    <row r="11" s="1" customFormat="1" ht="84" hidden="1" spans="1:39">
      <c r="A11" s="1">
        <v>10</v>
      </c>
      <c r="B11" s="5">
        <v>45748</v>
      </c>
      <c r="C11" s="1" t="s">
        <v>41</v>
      </c>
      <c r="D11" s="1" t="s">
        <v>42</v>
      </c>
      <c r="E11" s="1" t="s">
        <v>108</v>
      </c>
      <c r="F11" s="1">
        <v>6905200.23</v>
      </c>
      <c r="H11" s="1" t="s">
        <v>109</v>
      </c>
      <c r="I11" s="1" t="s">
        <v>110</v>
      </c>
      <c r="J11" s="1" t="s">
        <v>46</v>
      </c>
      <c r="K11" s="1" t="s">
        <v>47</v>
      </c>
      <c r="L11" s="1" t="s">
        <v>77</v>
      </c>
      <c r="M11" s="1">
        <v>162</v>
      </c>
      <c r="N11" s="1">
        <v>0</v>
      </c>
      <c r="O11" s="1" t="s">
        <v>111</v>
      </c>
      <c r="P11" s="1" t="s">
        <v>112</v>
      </c>
      <c r="Q11" s="1" t="s">
        <v>113</v>
      </c>
      <c r="R11" s="1">
        <v>5341555</v>
      </c>
      <c r="S11" s="1">
        <v>5341980</v>
      </c>
      <c r="T11" s="1">
        <v>5341172.38</v>
      </c>
      <c r="AA11" s="1" t="s">
        <v>111</v>
      </c>
      <c r="AC11" s="1">
        <v>5341555</v>
      </c>
      <c r="AE11" s="14">
        <f>(1-AC11/F11)</f>
        <v>0.226444589283112</v>
      </c>
      <c r="AG11" s="14">
        <v>-0.005</v>
      </c>
      <c r="AL11" s="33" t="s">
        <v>114</v>
      </c>
      <c r="AM11" s="33" t="s">
        <v>115</v>
      </c>
    </row>
    <row r="12" s="1" customFormat="1" ht="84" hidden="1" spans="1:39">
      <c r="A12" s="1">
        <v>11</v>
      </c>
      <c r="B12" s="5">
        <v>45729</v>
      </c>
      <c r="C12" s="1" t="s">
        <v>41</v>
      </c>
      <c r="D12" s="1" t="s">
        <v>42</v>
      </c>
      <c r="E12" s="1" t="s">
        <v>116</v>
      </c>
      <c r="F12" s="1">
        <v>8655057.24</v>
      </c>
      <c r="H12" s="1" t="s">
        <v>117</v>
      </c>
      <c r="I12" s="1" t="s">
        <v>45</v>
      </c>
      <c r="J12" s="1" t="s">
        <v>46</v>
      </c>
      <c r="K12" s="1" t="s">
        <v>47</v>
      </c>
      <c r="L12" s="1" t="s">
        <v>77</v>
      </c>
      <c r="M12" s="1">
        <v>354</v>
      </c>
      <c r="N12" s="1">
        <v>0</v>
      </c>
      <c r="O12" s="1" t="s">
        <v>118</v>
      </c>
      <c r="P12" s="1" t="s">
        <v>119</v>
      </c>
      <c r="Q12" s="1" t="s">
        <v>80</v>
      </c>
      <c r="R12" s="1">
        <v>6712828.88</v>
      </c>
      <c r="S12" s="1">
        <v>6709441.87</v>
      </c>
      <c r="T12" s="1">
        <v>6703195.72</v>
      </c>
      <c r="AA12" s="1" t="s">
        <v>118</v>
      </c>
      <c r="AC12" s="1">
        <v>6712828.88</v>
      </c>
      <c r="AE12" s="14">
        <f t="shared" ref="AE12:AE21" si="1">(1-AC12/F12)</f>
        <v>0.22440387234227</v>
      </c>
      <c r="AG12" s="14">
        <v>0.015</v>
      </c>
      <c r="AL12" s="32" t="s">
        <v>120</v>
      </c>
      <c r="AM12" s="33" t="s">
        <v>121</v>
      </c>
    </row>
    <row r="13" s="1" customFormat="1" ht="185" hidden="1" spans="1:39">
      <c r="A13" s="1">
        <v>12</v>
      </c>
      <c r="B13" s="5">
        <v>45715</v>
      </c>
      <c r="C13" s="1" t="s">
        <v>41</v>
      </c>
      <c r="D13" s="1" t="s">
        <v>42</v>
      </c>
      <c r="E13" s="1" t="s">
        <v>122</v>
      </c>
      <c r="F13" s="1">
        <v>8662353.07</v>
      </c>
      <c r="H13" s="1" t="s">
        <v>123</v>
      </c>
      <c r="I13" s="1" t="s">
        <v>85</v>
      </c>
      <c r="J13" s="1" t="s">
        <v>46</v>
      </c>
      <c r="K13" s="1" t="s">
        <v>47</v>
      </c>
      <c r="L13" s="1" t="s">
        <v>77</v>
      </c>
      <c r="M13" s="1">
        <v>93</v>
      </c>
      <c r="N13" s="1">
        <v>1</v>
      </c>
      <c r="O13" s="1" t="s">
        <v>124</v>
      </c>
      <c r="P13" s="1" t="s">
        <v>125</v>
      </c>
      <c r="Q13" s="1" t="s">
        <v>126</v>
      </c>
      <c r="R13" s="1">
        <v>6838218.16</v>
      </c>
      <c r="S13" s="9">
        <v>6841861</v>
      </c>
      <c r="T13" s="1">
        <v>6829180.06</v>
      </c>
      <c r="AA13" s="1" t="s">
        <v>124</v>
      </c>
      <c r="AB13" s="10"/>
      <c r="AC13" s="1">
        <v>6838218.16</v>
      </c>
      <c r="AE13" s="14">
        <f t="shared" si="1"/>
        <v>0.210581916398381</v>
      </c>
      <c r="AG13" s="29">
        <v>0.01</v>
      </c>
      <c r="AL13" s="33" t="s">
        <v>127</v>
      </c>
      <c r="AM13" s="33" t="s">
        <v>128</v>
      </c>
    </row>
    <row r="14" s="1" customFormat="1" ht="404" hidden="1" spans="1:39">
      <c r="A14" s="1">
        <v>13</v>
      </c>
      <c r="B14" s="5">
        <v>45713</v>
      </c>
      <c r="C14" s="1" t="s">
        <v>41</v>
      </c>
      <c r="D14" s="1" t="s">
        <v>42</v>
      </c>
      <c r="E14" s="1" t="s">
        <v>129</v>
      </c>
      <c r="F14" s="1">
        <v>134000000</v>
      </c>
      <c r="G14" s="1">
        <v>1500000</v>
      </c>
      <c r="H14" s="1" t="s">
        <v>130</v>
      </c>
      <c r="I14" s="1" t="s">
        <v>45</v>
      </c>
      <c r="J14" s="1" t="s">
        <v>99</v>
      </c>
      <c r="K14" s="1" t="s">
        <v>100</v>
      </c>
      <c r="L14" s="1" t="s">
        <v>101</v>
      </c>
      <c r="M14" s="1">
        <v>22</v>
      </c>
      <c r="N14" s="1">
        <v>2</v>
      </c>
      <c r="O14" s="1" t="s">
        <v>131</v>
      </c>
      <c r="P14" s="1" t="s">
        <v>132</v>
      </c>
      <c r="Q14" s="1" t="s">
        <v>133</v>
      </c>
      <c r="X14" s="14">
        <v>0.1522</v>
      </c>
      <c r="Y14" s="14"/>
      <c r="Z14" s="14">
        <v>0.1823</v>
      </c>
      <c r="AA14" s="1" t="s">
        <v>134</v>
      </c>
      <c r="AD14" s="14">
        <v>0.1522</v>
      </c>
      <c r="AE14" s="14">
        <v>0.1522</v>
      </c>
      <c r="AG14" s="29">
        <v>0</v>
      </c>
      <c r="AL14" s="33" t="s">
        <v>135</v>
      </c>
      <c r="AM14" s="33" t="s">
        <v>136</v>
      </c>
    </row>
    <row r="15" s="1" customFormat="1" ht="101" hidden="1" spans="1:39">
      <c r="A15" s="1">
        <v>14</v>
      </c>
      <c r="B15" s="5">
        <v>45821</v>
      </c>
      <c r="C15" s="1" t="s">
        <v>41</v>
      </c>
      <c r="D15" s="1" t="s">
        <v>137</v>
      </c>
      <c r="E15" s="1" t="s">
        <v>138</v>
      </c>
      <c r="F15" s="1">
        <v>3888538.04</v>
      </c>
      <c r="H15" s="1" t="s">
        <v>139</v>
      </c>
      <c r="I15" s="1" t="s">
        <v>140</v>
      </c>
      <c r="J15" s="1" t="s">
        <v>46</v>
      </c>
      <c r="K15" s="1" t="s">
        <v>47</v>
      </c>
      <c r="L15" s="1" t="s">
        <v>141</v>
      </c>
      <c r="M15" s="1">
        <v>13</v>
      </c>
      <c r="N15" s="1">
        <v>0</v>
      </c>
      <c r="O15" s="1" t="s">
        <v>142</v>
      </c>
      <c r="P15" s="1" t="s">
        <v>143</v>
      </c>
      <c r="R15" s="1">
        <v>3112696.41</v>
      </c>
      <c r="S15" s="1">
        <v>3128496.9</v>
      </c>
      <c r="AA15" s="1" t="s">
        <v>142</v>
      </c>
      <c r="AC15" s="1">
        <v>3112696.41</v>
      </c>
      <c r="AE15" s="14">
        <f t="shared" si="1"/>
        <v>0.199520133793008</v>
      </c>
      <c r="AL15" s="33" t="s">
        <v>144</v>
      </c>
      <c r="AM15" s="33" t="s">
        <v>145</v>
      </c>
    </row>
    <row r="16" s="1" customFormat="1" ht="84" hidden="1" spans="1:39">
      <c r="A16" s="1">
        <v>15</v>
      </c>
      <c r="B16" s="5">
        <v>45819</v>
      </c>
      <c r="C16" s="1" t="s">
        <v>41</v>
      </c>
      <c r="D16" s="1" t="s">
        <v>137</v>
      </c>
      <c r="E16" s="1" t="s">
        <v>146</v>
      </c>
      <c r="F16" s="1">
        <v>87187536.14</v>
      </c>
      <c r="H16" s="1" t="s">
        <v>147</v>
      </c>
      <c r="I16" s="1" t="s">
        <v>140</v>
      </c>
      <c r="J16" s="1" t="s">
        <v>46</v>
      </c>
      <c r="K16" s="1" t="s">
        <v>47</v>
      </c>
      <c r="L16" s="1" t="s">
        <v>77</v>
      </c>
      <c r="M16" s="1">
        <v>1230</v>
      </c>
      <c r="N16" s="1">
        <v>1</v>
      </c>
      <c r="O16" s="1" t="s">
        <v>148</v>
      </c>
      <c r="P16" s="1" t="s">
        <v>149</v>
      </c>
      <c r="Q16" s="1" t="s">
        <v>150</v>
      </c>
      <c r="R16" s="1">
        <v>65847955.79</v>
      </c>
      <c r="S16" s="1">
        <v>65855000</v>
      </c>
      <c r="T16" s="1">
        <v>65855013.88</v>
      </c>
      <c r="AA16" s="1" t="s">
        <v>148</v>
      </c>
      <c r="AC16" s="1">
        <v>65847955.79</v>
      </c>
      <c r="AE16" s="14">
        <f t="shared" si="1"/>
        <v>0.244754941987744</v>
      </c>
      <c r="AG16" s="14">
        <v>0.015</v>
      </c>
      <c r="AL16" s="33" t="s">
        <v>151</v>
      </c>
      <c r="AM16" s="33" t="s">
        <v>152</v>
      </c>
    </row>
    <row r="17" s="1" customFormat="1" ht="101" hidden="1" spans="1:39">
      <c r="A17" s="1">
        <v>16</v>
      </c>
      <c r="B17" s="5">
        <v>45814</v>
      </c>
      <c r="C17" s="1" t="s">
        <v>41</v>
      </c>
      <c r="D17" s="1" t="s">
        <v>137</v>
      </c>
      <c r="E17" s="1" t="s">
        <v>153</v>
      </c>
      <c r="F17" s="1">
        <v>13626321.35</v>
      </c>
      <c r="H17" s="1" t="s">
        <v>154</v>
      </c>
      <c r="I17" s="1" t="s">
        <v>140</v>
      </c>
      <c r="J17" s="1" t="s">
        <v>46</v>
      </c>
      <c r="K17" s="1" t="s">
        <v>47</v>
      </c>
      <c r="L17" s="1" t="s">
        <v>141</v>
      </c>
      <c r="M17" s="1">
        <v>80</v>
      </c>
      <c r="N17" s="1">
        <v>1</v>
      </c>
      <c r="O17" s="1" t="s">
        <v>79</v>
      </c>
      <c r="P17" s="1" t="s">
        <v>155</v>
      </c>
      <c r="Q17" s="1" t="s">
        <v>156</v>
      </c>
      <c r="R17" s="1">
        <v>9733338.38</v>
      </c>
      <c r="S17" s="1">
        <v>9731700.69</v>
      </c>
      <c r="T17" s="1">
        <v>9731700.69</v>
      </c>
      <c r="AA17" s="1" t="s">
        <v>79</v>
      </c>
      <c r="AC17" s="1">
        <v>9733338.38</v>
      </c>
      <c r="AE17" s="14">
        <f t="shared" si="1"/>
        <v>0.285695814006324</v>
      </c>
      <c r="AL17" s="33" t="s">
        <v>157</v>
      </c>
      <c r="AM17" s="33" t="s">
        <v>158</v>
      </c>
    </row>
    <row r="18" s="1" customFormat="1" ht="101" hidden="1" spans="1:41">
      <c r="A18" s="1">
        <v>17</v>
      </c>
      <c r="B18" s="5">
        <v>45761</v>
      </c>
      <c r="C18" s="1" t="s">
        <v>41</v>
      </c>
      <c r="D18" s="1" t="s">
        <v>137</v>
      </c>
      <c r="E18" s="1" t="s">
        <v>159</v>
      </c>
      <c r="F18" s="1">
        <v>3432715.22</v>
      </c>
      <c r="H18" s="1" t="s">
        <v>160</v>
      </c>
      <c r="I18" s="1" t="s">
        <v>140</v>
      </c>
      <c r="J18" s="1" t="s">
        <v>46</v>
      </c>
      <c r="K18" s="1" t="s">
        <v>100</v>
      </c>
      <c r="L18" s="1" t="s">
        <v>161</v>
      </c>
      <c r="M18" s="1">
        <v>26</v>
      </c>
      <c r="N18" s="1">
        <v>6</v>
      </c>
      <c r="O18" s="1" t="s">
        <v>162</v>
      </c>
      <c r="P18" s="1" t="s">
        <v>163</v>
      </c>
      <c r="R18" s="1">
        <v>2644100.89</v>
      </c>
      <c r="S18" s="1">
        <v>2660510.71</v>
      </c>
      <c r="AA18" s="1" t="s">
        <v>162</v>
      </c>
      <c r="AC18" s="1">
        <v>2644100.89</v>
      </c>
      <c r="AE18" s="14">
        <f t="shared" si="1"/>
        <v>0.229734854031964</v>
      </c>
      <c r="AG18" s="14">
        <v>-0.005</v>
      </c>
      <c r="AL18" s="33" t="s">
        <v>164</v>
      </c>
      <c r="AM18" s="33" t="s">
        <v>165</v>
      </c>
      <c r="AO18" s="32" t="s">
        <v>166</v>
      </c>
    </row>
    <row r="19" s="1" customFormat="1" ht="135" hidden="1" spans="1:41">
      <c r="A19" s="1">
        <v>18</v>
      </c>
      <c r="B19" s="5">
        <v>45727</v>
      </c>
      <c r="C19" s="1" t="s">
        <v>41</v>
      </c>
      <c r="D19" s="1" t="s">
        <v>137</v>
      </c>
      <c r="E19" s="1" t="s">
        <v>167</v>
      </c>
      <c r="F19" s="1">
        <v>2808344.02</v>
      </c>
      <c r="H19" s="1" t="s">
        <v>168</v>
      </c>
      <c r="I19" s="1" t="s">
        <v>169</v>
      </c>
      <c r="J19" s="1" t="s">
        <v>46</v>
      </c>
      <c r="K19" s="1" t="s">
        <v>100</v>
      </c>
      <c r="L19" s="1" t="s">
        <v>161</v>
      </c>
      <c r="M19" s="1">
        <v>9</v>
      </c>
      <c r="N19" s="1">
        <v>3</v>
      </c>
      <c r="O19" s="1" t="s">
        <v>170</v>
      </c>
      <c r="P19" s="1" t="s">
        <v>171</v>
      </c>
      <c r="Q19" s="1" t="s">
        <v>172</v>
      </c>
      <c r="R19" s="1">
        <v>2397056.28</v>
      </c>
      <c r="S19" s="1">
        <v>2550008</v>
      </c>
      <c r="T19" s="1">
        <v>2553761.33</v>
      </c>
      <c r="AA19" s="1" t="s">
        <v>170</v>
      </c>
      <c r="AC19" s="1">
        <v>2397056.28</v>
      </c>
      <c r="AE19" s="14">
        <f t="shared" si="1"/>
        <v>0.146452050415106</v>
      </c>
      <c r="AG19" s="14">
        <v>0.015</v>
      </c>
      <c r="AL19" s="33" t="s">
        <v>173</v>
      </c>
      <c r="AM19" s="33" t="s">
        <v>174</v>
      </c>
      <c r="AO19" s="32" t="s">
        <v>175</v>
      </c>
    </row>
    <row r="20" s="1" customFormat="1" ht="185" hidden="1" spans="1:39">
      <c r="A20" s="1">
        <v>19</v>
      </c>
      <c r="B20" s="5">
        <v>45702</v>
      </c>
      <c r="C20" s="1" t="s">
        <v>41</v>
      </c>
      <c r="D20" s="1" t="s">
        <v>137</v>
      </c>
      <c r="E20" s="1" t="s">
        <v>176</v>
      </c>
      <c r="F20" s="1">
        <v>11917622.41</v>
      </c>
      <c r="H20" s="1" t="s">
        <v>177</v>
      </c>
      <c r="I20" s="1" t="s">
        <v>140</v>
      </c>
      <c r="J20" s="1" t="s">
        <v>46</v>
      </c>
      <c r="K20" s="1" t="s">
        <v>47</v>
      </c>
      <c r="L20" s="1" t="s">
        <v>77</v>
      </c>
      <c r="M20" s="1">
        <v>42</v>
      </c>
      <c r="N20" s="1">
        <v>2</v>
      </c>
      <c r="O20" s="1" t="s">
        <v>178</v>
      </c>
      <c r="P20" s="1" t="s">
        <v>179</v>
      </c>
      <c r="Q20" s="1" t="s">
        <v>180</v>
      </c>
      <c r="R20" s="1">
        <v>9429222.85</v>
      </c>
      <c r="S20" s="1">
        <v>9455135.55</v>
      </c>
      <c r="T20" s="1">
        <v>9488810.96</v>
      </c>
      <c r="AA20" s="1" t="s">
        <v>181</v>
      </c>
      <c r="AC20" s="1">
        <v>9429222.85</v>
      </c>
      <c r="AE20" s="14">
        <f t="shared" si="1"/>
        <v>0.208800000066456</v>
      </c>
      <c r="AL20" s="32" t="s">
        <v>182</v>
      </c>
      <c r="AM20" s="33" t="s">
        <v>183</v>
      </c>
    </row>
    <row r="21" s="1" customFormat="1" ht="84" hidden="1" spans="1:39">
      <c r="A21" s="1">
        <v>20</v>
      </c>
      <c r="B21" s="5">
        <v>45660</v>
      </c>
      <c r="C21" s="1" t="s">
        <v>41</v>
      </c>
      <c r="D21" s="1" t="s">
        <v>137</v>
      </c>
      <c r="E21" s="1" t="s">
        <v>184</v>
      </c>
      <c r="F21" s="1">
        <v>10577363.06</v>
      </c>
      <c r="H21" s="1" t="s">
        <v>168</v>
      </c>
      <c r="I21" s="1" t="s">
        <v>169</v>
      </c>
      <c r="J21" s="1" t="s">
        <v>46</v>
      </c>
      <c r="K21" s="1" t="s">
        <v>47</v>
      </c>
      <c r="L21" s="1" t="s">
        <v>77</v>
      </c>
      <c r="M21" s="1">
        <v>801</v>
      </c>
      <c r="N21" s="1">
        <v>1</v>
      </c>
      <c r="O21" s="1" t="s">
        <v>185</v>
      </c>
      <c r="P21" s="1" t="s">
        <v>186</v>
      </c>
      <c r="Q21" s="1" t="s">
        <v>187</v>
      </c>
      <c r="R21" s="1">
        <v>7905866.05</v>
      </c>
      <c r="S21" s="1">
        <v>7904967.6</v>
      </c>
      <c r="T21" s="1">
        <v>7902475</v>
      </c>
      <c r="AA21" s="1" t="s">
        <v>185</v>
      </c>
      <c r="AC21" s="1">
        <v>7905866.05</v>
      </c>
      <c r="AE21" s="14">
        <f t="shared" si="1"/>
        <v>0.252567392727843</v>
      </c>
      <c r="AG21" s="29">
        <v>0</v>
      </c>
      <c r="AL21" s="32" t="s">
        <v>188</v>
      </c>
      <c r="AM21" s="33" t="s">
        <v>189</v>
      </c>
    </row>
    <row r="22" s="1" customFormat="1" ht="286" hidden="1" spans="1:39">
      <c r="A22" s="1">
        <v>21</v>
      </c>
      <c r="B22" s="5">
        <v>45811</v>
      </c>
      <c r="C22" s="1" t="s">
        <v>41</v>
      </c>
      <c r="D22" s="1" t="s">
        <v>190</v>
      </c>
      <c r="E22" s="1" t="s">
        <v>191</v>
      </c>
      <c r="F22" s="1">
        <v>8400000</v>
      </c>
      <c r="H22" s="1" t="s">
        <v>192</v>
      </c>
      <c r="I22" s="1" t="s">
        <v>140</v>
      </c>
      <c r="J22" s="1" t="s">
        <v>193</v>
      </c>
      <c r="K22" s="1" t="s">
        <v>100</v>
      </c>
      <c r="L22" s="1" t="s">
        <v>101</v>
      </c>
      <c r="M22" s="1">
        <v>17</v>
      </c>
      <c r="N22" s="1">
        <v>4</v>
      </c>
      <c r="O22" s="1" t="s">
        <v>194</v>
      </c>
      <c r="P22" s="1" t="s">
        <v>195</v>
      </c>
      <c r="Q22" s="1" t="s">
        <v>196</v>
      </c>
      <c r="X22" s="14">
        <v>0.139</v>
      </c>
      <c r="Y22" s="14"/>
      <c r="Z22" s="14">
        <v>0.126</v>
      </c>
      <c r="AA22" s="1" t="s">
        <v>194</v>
      </c>
      <c r="AD22" s="14">
        <v>0.139</v>
      </c>
      <c r="AE22" s="14">
        <v>0.139</v>
      </c>
      <c r="AL22" s="33" t="s">
        <v>197</v>
      </c>
      <c r="AM22" s="32" t="s">
        <v>198</v>
      </c>
    </row>
    <row r="23" s="1" customFormat="1" ht="68" hidden="1" spans="1:39">
      <c r="A23" s="1">
        <v>22</v>
      </c>
      <c r="B23" s="5">
        <v>45797</v>
      </c>
      <c r="C23" s="1" t="s">
        <v>41</v>
      </c>
      <c r="D23" s="1" t="s">
        <v>190</v>
      </c>
      <c r="E23" s="1" t="s">
        <v>199</v>
      </c>
      <c r="F23" s="1">
        <v>2511988.92</v>
      </c>
      <c r="H23" s="1" t="s">
        <v>200</v>
      </c>
      <c r="I23" s="1" t="s">
        <v>201</v>
      </c>
      <c r="J23" s="1" t="s">
        <v>46</v>
      </c>
      <c r="K23" s="1" t="s">
        <v>47</v>
      </c>
      <c r="L23" s="1" t="s">
        <v>77</v>
      </c>
      <c r="M23" s="1">
        <v>153</v>
      </c>
      <c r="N23" s="1">
        <v>0</v>
      </c>
      <c r="O23" s="1" t="s">
        <v>202</v>
      </c>
      <c r="P23" s="1" t="s">
        <v>203</v>
      </c>
      <c r="Q23" s="1" t="s">
        <v>204</v>
      </c>
      <c r="R23" s="1">
        <v>1827212</v>
      </c>
      <c r="S23" s="1">
        <v>1829091.38</v>
      </c>
      <c r="T23" s="1">
        <v>1826975.42</v>
      </c>
      <c r="AA23" s="1" t="s">
        <v>202</v>
      </c>
      <c r="AC23" s="1">
        <v>1827212</v>
      </c>
      <c r="AE23" s="14">
        <f t="shared" ref="AE23:AE28" si="2">(1-AC23/F23)</f>
        <v>0.272603479477131</v>
      </c>
      <c r="AG23" s="14">
        <v>0.005</v>
      </c>
      <c r="AL23" s="32" t="s">
        <v>205</v>
      </c>
      <c r="AM23" s="33" t="s">
        <v>206</v>
      </c>
    </row>
    <row r="24" s="1" customFormat="1" ht="68" hidden="1" spans="1:39">
      <c r="A24" s="1">
        <v>23</v>
      </c>
      <c r="B24" s="5">
        <v>45797</v>
      </c>
      <c r="C24" s="1" t="s">
        <v>41</v>
      </c>
      <c r="D24" s="1" t="s">
        <v>190</v>
      </c>
      <c r="E24" s="1" t="s">
        <v>207</v>
      </c>
      <c r="F24" s="10">
        <v>2484752.69</v>
      </c>
      <c r="G24" s="10"/>
      <c r="H24" s="1" t="s">
        <v>200</v>
      </c>
      <c r="I24" s="1" t="s">
        <v>201</v>
      </c>
      <c r="J24" s="1" t="s">
        <v>46</v>
      </c>
      <c r="K24" s="1" t="s">
        <v>47</v>
      </c>
      <c r="L24" s="1" t="s">
        <v>77</v>
      </c>
      <c r="M24" s="1">
        <v>158</v>
      </c>
      <c r="N24" s="1">
        <v>0</v>
      </c>
      <c r="O24" s="1" t="s">
        <v>208</v>
      </c>
      <c r="P24" s="1" t="s">
        <v>209</v>
      </c>
      <c r="Q24" s="1" t="s">
        <v>210</v>
      </c>
      <c r="R24" s="1">
        <v>1810816.97</v>
      </c>
      <c r="S24" s="1">
        <v>1811131.27</v>
      </c>
      <c r="T24" s="1">
        <v>1810291.49</v>
      </c>
      <c r="AA24" s="1" t="s">
        <v>208</v>
      </c>
      <c r="AC24" s="1">
        <v>1810816.97</v>
      </c>
      <c r="AE24" s="14">
        <f t="shared" si="2"/>
        <v>0.27122848994682</v>
      </c>
      <c r="AG24" s="14">
        <v>0.005</v>
      </c>
      <c r="AL24" s="33" t="s">
        <v>211</v>
      </c>
      <c r="AM24" s="33" t="s">
        <v>212</v>
      </c>
    </row>
    <row r="25" s="1" customFormat="1" ht="168" hidden="1" spans="1:39">
      <c r="A25" s="1">
        <v>24</v>
      </c>
      <c r="B25" s="5">
        <v>45770</v>
      </c>
      <c r="C25" s="1" t="s">
        <v>41</v>
      </c>
      <c r="D25" s="1" t="s">
        <v>190</v>
      </c>
      <c r="E25" s="1" t="s">
        <v>213</v>
      </c>
      <c r="F25" s="1">
        <v>10118055.84</v>
      </c>
      <c r="H25" s="1" t="s">
        <v>214</v>
      </c>
      <c r="I25" s="1" t="s">
        <v>140</v>
      </c>
      <c r="J25" s="1" t="s">
        <v>46</v>
      </c>
      <c r="K25" s="1" t="s">
        <v>47</v>
      </c>
      <c r="L25" s="1" t="s">
        <v>77</v>
      </c>
      <c r="M25" s="1">
        <v>112</v>
      </c>
      <c r="N25" s="1">
        <v>0</v>
      </c>
      <c r="O25" s="1" t="s">
        <v>215</v>
      </c>
      <c r="P25" s="1" t="s">
        <v>216</v>
      </c>
      <c r="Q25" s="1" t="s">
        <v>217</v>
      </c>
      <c r="R25" s="1">
        <v>7902186.45</v>
      </c>
      <c r="S25" s="1">
        <v>7903325.93</v>
      </c>
      <c r="T25" s="1">
        <v>7912550.18</v>
      </c>
      <c r="AA25" s="1" t="s">
        <v>215</v>
      </c>
      <c r="AC25" s="1">
        <v>7902186.45</v>
      </c>
      <c r="AE25" s="14">
        <f t="shared" si="2"/>
        <v>0.219001498414344</v>
      </c>
      <c r="AL25" s="33" t="s">
        <v>218</v>
      </c>
      <c r="AM25" s="33" t="s">
        <v>219</v>
      </c>
    </row>
    <row r="26" s="1" customFormat="1" ht="84" hidden="1" spans="1:39">
      <c r="A26" s="1">
        <v>25</v>
      </c>
      <c r="B26" s="5">
        <v>45770</v>
      </c>
      <c r="C26" s="1" t="s">
        <v>41</v>
      </c>
      <c r="D26" s="1" t="s">
        <v>190</v>
      </c>
      <c r="E26" s="1" t="s">
        <v>220</v>
      </c>
      <c r="F26" s="1">
        <v>31684786.27</v>
      </c>
      <c r="H26" s="1" t="s">
        <v>221</v>
      </c>
      <c r="I26" s="1" t="s">
        <v>140</v>
      </c>
      <c r="J26" s="1" t="s">
        <v>46</v>
      </c>
      <c r="K26" s="1" t="s">
        <v>47</v>
      </c>
      <c r="L26" s="1" t="s">
        <v>77</v>
      </c>
      <c r="M26" s="1">
        <v>305</v>
      </c>
      <c r="N26" s="1">
        <v>0</v>
      </c>
      <c r="O26" s="1" t="s">
        <v>222</v>
      </c>
      <c r="P26" s="1" t="s">
        <v>223</v>
      </c>
      <c r="Q26" s="1" t="s">
        <v>224</v>
      </c>
      <c r="R26" s="1">
        <v>24305399.54</v>
      </c>
      <c r="S26" s="1">
        <v>24297542.45</v>
      </c>
      <c r="T26" s="1">
        <v>24318256.93</v>
      </c>
      <c r="AA26" s="1" t="s">
        <v>222</v>
      </c>
      <c r="AC26" s="1">
        <v>24305399.54</v>
      </c>
      <c r="AE26" s="14">
        <f t="shared" si="2"/>
        <v>0.232900000243555</v>
      </c>
      <c r="AL26" s="33" t="s">
        <v>225</v>
      </c>
      <c r="AM26" s="33" t="s">
        <v>226</v>
      </c>
    </row>
    <row r="27" s="1" customFormat="1" ht="168" hidden="1" spans="1:41">
      <c r="A27" s="1">
        <v>26</v>
      </c>
      <c r="B27" s="5">
        <v>45649</v>
      </c>
      <c r="C27" s="1" t="s">
        <v>41</v>
      </c>
      <c r="D27" s="1" t="s">
        <v>190</v>
      </c>
      <c r="E27" s="1" t="s">
        <v>227</v>
      </c>
      <c r="F27" s="1">
        <v>101365748.5</v>
      </c>
      <c r="H27" s="1" t="s">
        <v>228</v>
      </c>
      <c r="I27" s="1" t="s">
        <v>140</v>
      </c>
      <c r="J27" s="1" t="s">
        <v>46</v>
      </c>
      <c r="K27" s="1" t="s">
        <v>100</v>
      </c>
      <c r="L27" s="1" t="s">
        <v>161</v>
      </c>
      <c r="M27" s="1">
        <v>9</v>
      </c>
      <c r="N27" s="1">
        <v>0</v>
      </c>
      <c r="O27" s="1" t="s">
        <v>229</v>
      </c>
      <c r="P27" s="1" t="s">
        <v>230</v>
      </c>
      <c r="Q27" s="1" t="s">
        <v>231</v>
      </c>
      <c r="R27" s="1">
        <v>86647441.84</v>
      </c>
      <c r="S27" s="1">
        <v>86079793.66</v>
      </c>
      <c r="T27" s="1">
        <v>88802033.33</v>
      </c>
      <c r="AA27" s="1" t="s">
        <v>229</v>
      </c>
      <c r="AC27" s="1">
        <v>86647441.84</v>
      </c>
      <c r="AE27" s="14">
        <f t="shared" si="2"/>
        <v>0.145199999780991</v>
      </c>
      <c r="AL27" s="33" t="s">
        <v>232</v>
      </c>
      <c r="AM27" s="33" t="s">
        <v>233</v>
      </c>
      <c r="AO27" s="32" t="s">
        <v>234</v>
      </c>
    </row>
    <row r="28" s="1" customFormat="1" ht="135" hidden="1" spans="1:41">
      <c r="A28" s="1">
        <v>27</v>
      </c>
      <c r="B28" s="5">
        <v>45818</v>
      </c>
      <c r="C28" s="1" t="s">
        <v>41</v>
      </c>
      <c r="D28" s="1" t="s">
        <v>235</v>
      </c>
      <c r="E28" s="1" t="s">
        <v>236</v>
      </c>
      <c r="F28" s="1">
        <v>6006665.32</v>
      </c>
      <c r="H28" s="1" t="s">
        <v>237</v>
      </c>
      <c r="I28" s="1" t="s">
        <v>238</v>
      </c>
      <c r="J28" s="1" t="s">
        <v>46</v>
      </c>
      <c r="K28" s="1" t="s">
        <v>100</v>
      </c>
      <c r="L28" s="1" t="s">
        <v>161</v>
      </c>
      <c r="M28" s="1">
        <v>29</v>
      </c>
      <c r="N28" s="1">
        <v>3</v>
      </c>
      <c r="O28" s="1" t="s">
        <v>239</v>
      </c>
      <c r="P28" s="1" t="s">
        <v>240</v>
      </c>
      <c r="Q28" s="1" t="s">
        <v>241</v>
      </c>
      <c r="R28" s="9">
        <v>4611100</v>
      </c>
      <c r="S28" s="1">
        <v>4558458.31</v>
      </c>
      <c r="T28" s="9">
        <v>4667178.5</v>
      </c>
      <c r="AA28" s="1" t="s">
        <v>239</v>
      </c>
      <c r="AC28" s="9">
        <v>4611100</v>
      </c>
      <c r="AD28" s="9"/>
      <c r="AE28" s="14">
        <f t="shared" si="2"/>
        <v>0.232336120901106</v>
      </c>
      <c r="AG28" s="14">
        <v>0.005</v>
      </c>
      <c r="AL28" s="33" t="s">
        <v>242</v>
      </c>
      <c r="AM28" s="33" t="s">
        <v>243</v>
      </c>
      <c r="AO28" s="32" t="s">
        <v>244</v>
      </c>
    </row>
    <row r="29" s="1" customFormat="1" ht="168" hidden="1" spans="1:39">
      <c r="A29" s="1">
        <v>28</v>
      </c>
      <c r="B29" s="5">
        <v>45811</v>
      </c>
      <c r="C29" s="1" t="s">
        <v>41</v>
      </c>
      <c r="D29" s="1" t="s">
        <v>235</v>
      </c>
      <c r="E29" s="1" t="s">
        <v>245</v>
      </c>
      <c r="F29" s="1">
        <v>250000000</v>
      </c>
      <c r="H29" s="1" t="s">
        <v>246</v>
      </c>
      <c r="I29" s="1" t="s">
        <v>140</v>
      </c>
      <c r="J29" s="1" t="s">
        <v>99</v>
      </c>
      <c r="K29" s="1" t="s">
        <v>100</v>
      </c>
      <c r="L29" s="1" t="s">
        <v>101</v>
      </c>
      <c r="M29" s="1">
        <v>60</v>
      </c>
      <c r="N29" s="1">
        <v>4</v>
      </c>
      <c r="O29" s="1" t="s">
        <v>247</v>
      </c>
      <c r="P29" s="1" t="s">
        <v>248</v>
      </c>
      <c r="Q29" s="1" t="s">
        <v>249</v>
      </c>
      <c r="X29" s="14">
        <v>0.2177</v>
      </c>
      <c r="Y29" s="14"/>
      <c r="Z29" s="14">
        <v>0.2076</v>
      </c>
      <c r="AA29" s="1" t="s">
        <v>247</v>
      </c>
      <c r="AD29" s="14">
        <v>0.2177</v>
      </c>
      <c r="AE29" s="14">
        <v>0.2177</v>
      </c>
      <c r="AL29" s="33" t="s">
        <v>250</v>
      </c>
      <c r="AM29" s="32" t="s">
        <v>251</v>
      </c>
    </row>
    <row r="30" s="1" customFormat="1" ht="185" hidden="1" spans="1:41">
      <c r="A30" s="1">
        <v>29</v>
      </c>
      <c r="B30" s="5">
        <v>45796</v>
      </c>
      <c r="C30" s="1" t="s">
        <v>41</v>
      </c>
      <c r="D30" s="1" t="s">
        <v>235</v>
      </c>
      <c r="E30" s="1" t="s">
        <v>252</v>
      </c>
      <c r="F30" s="1">
        <v>228675896.54</v>
      </c>
      <c r="H30" s="1" t="s">
        <v>253</v>
      </c>
      <c r="I30" s="1" t="s">
        <v>140</v>
      </c>
      <c r="J30" s="1" t="s">
        <v>46</v>
      </c>
      <c r="K30" s="1" t="s">
        <v>100</v>
      </c>
      <c r="L30" s="1" t="s">
        <v>161</v>
      </c>
      <c r="M30" s="1">
        <v>49</v>
      </c>
      <c r="N30" s="1">
        <v>4</v>
      </c>
      <c r="O30" s="1" t="s">
        <v>254</v>
      </c>
      <c r="P30" s="1" t="s">
        <v>255</v>
      </c>
      <c r="Q30" s="1" t="s">
        <v>256</v>
      </c>
      <c r="R30" s="1">
        <v>182336556.54</v>
      </c>
      <c r="S30" s="1">
        <v>186782047.09</v>
      </c>
      <c r="T30" s="1">
        <v>187016564.64</v>
      </c>
      <c r="AA30" s="1" t="s">
        <v>254</v>
      </c>
      <c r="AC30" s="1">
        <v>182336556.54</v>
      </c>
      <c r="AE30" s="14">
        <f>(1-AC30/F30)</f>
        <v>0.20264199551042</v>
      </c>
      <c r="AL30" s="33" t="s">
        <v>257</v>
      </c>
      <c r="AM30" s="33" t="s">
        <v>258</v>
      </c>
      <c r="AO30" s="33" t="s">
        <v>259</v>
      </c>
    </row>
    <row r="31" s="1" customFormat="1" ht="152" hidden="1" spans="1:39">
      <c r="A31" s="1">
        <v>30</v>
      </c>
      <c r="B31" s="5">
        <v>45777</v>
      </c>
      <c r="C31" s="1" t="s">
        <v>41</v>
      </c>
      <c r="D31" s="1" t="s">
        <v>235</v>
      </c>
      <c r="E31" s="1" t="s">
        <v>260</v>
      </c>
      <c r="F31" s="1">
        <v>6679963.56</v>
      </c>
      <c r="H31" s="1" t="s">
        <v>261</v>
      </c>
      <c r="I31" s="1" t="s">
        <v>262</v>
      </c>
      <c r="J31" s="1" t="s">
        <v>46</v>
      </c>
      <c r="K31" s="1" t="s">
        <v>47</v>
      </c>
      <c r="L31" s="1" t="s">
        <v>77</v>
      </c>
      <c r="M31" s="1">
        <v>148</v>
      </c>
      <c r="N31" s="1">
        <v>2</v>
      </c>
      <c r="O31" s="1" t="s">
        <v>263</v>
      </c>
      <c r="P31" s="1" t="s">
        <v>264</v>
      </c>
      <c r="Q31" s="1" t="s">
        <v>265</v>
      </c>
      <c r="R31" s="1">
        <v>5299090.63</v>
      </c>
      <c r="S31" s="1">
        <v>5299883.22</v>
      </c>
      <c r="T31" s="1">
        <v>5300620.5</v>
      </c>
      <c r="AA31" s="1" t="s">
        <v>263</v>
      </c>
      <c r="AC31" s="1">
        <v>5299090.63</v>
      </c>
      <c r="AE31" s="14">
        <f t="shared" ref="AE31:AE35" si="3">(1-AC31/F31)</f>
        <v>0.206718632159724</v>
      </c>
      <c r="AG31" s="14">
        <v>0.005</v>
      </c>
      <c r="AL31" s="33" t="s">
        <v>266</v>
      </c>
      <c r="AM31" s="33" t="s">
        <v>267</v>
      </c>
    </row>
    <row r="32" s="1" customFormat="1" ht="101" hidden="1" spans="1:39">
      <c r="A32" s="1">
        <v>31</v>
      </c>
      <c r="B32" s="5">
        <v>45817</v>
      </c>
      <c r="C32" s="1" t="s">
        <v>41</v>
      </c>
      <c r="D32" s="1" t="s">
        <v>268</v>
      </c>
      <c r="E32" s="1" t="s">
        <v>269</v>
      </c>
      <c r="F32" s="1">
        <v>8506348.01</v>
      </c>
      <c r="H32" s="1" t="s">
        <v>270</v>
      </c>
      <c r="I32" s="1" t="s">
        <v>271</v>
      </c>
      <c r="J32" s="1" t="s">
        <v>46</v>
      </c>
      <c r="K32" s="1" t="s">
        <v>47</v>
      </c>
      <c r="L32" s="1" t="s">
        <v>77</v>
      </c>
      <c r="M32" s="1">
        <v>287</v>
      </c>
      <c r="N32" s="1">
        <v>2</v>
      </c>
      <c r="O32" s="1" t="s">
        <v>272</v>
      </c>
      <c r="P32" s="1" t="s">
        <v>273</v>
      </c>
      <c r="Q32" s="1" t="s">
        <v>274</v>
      </c>
      <c r="R32" s="1">
        <v>6227493.42</v>
      </c>
      <c r="S32" s="1">
        <v>6225823.11</v>
      </c>
      <c r="T32" s="1">
        <v>6228478.48</v>
      </c>
      <c r="AA32" s="1" t="s">
        <v>272</v>
      </c>
      <c r="AC32" s="1">
        <v>6227493.42</v>
      </c>
      <c r="AE32" s="14">
        <f t="shared" si="3"/>
        <v>0.267900465313786</v>
      </c>
      <c r="AG32" s="14">
        <v>0.005</v>
      </c>
      <c r="AL32" s="33" t="s">
        <v>275</v>
      </c>
      <c r="AM32" s="33" t="s">
        <v>276</v>
      </c>
    </row>
    <row r="33" s="1" customFormat="1" ht="84" hidden="1" spans="1:39">
      <c r="A33" s="1">
        <v>32</v>
      </c>
      <c r="B33" s="5">
        <v>45812</v>
      </c>
      <c r="C33" s="1" t="s">
        <v>41</v>
      </c>
      <c r="D33" s="1" t="s">
        <v>268</v>
      </c>
      <c r="E33" s="1" t="s">
        <v>277</v>
      </c>
      <c r="F33" s="1">
        <v>23579802.06</v>
      </c>
      <c r="H33" s="1" t="s">
        <v>278</v>
      </c>
      <c r="I33" s="1" t="s">
        <v>271</v>
      </c>
      <c r="J33" s="1" t="s">
        <v>46</v>
      </c>
      <c r="K33" s="1" t="s">
        <v>47</v>
      </c>
      <c r="L33" s="1" t="s">
        <v>77</v>
      </c>
      <c r="M33" s="1">
        <v>365</v>
      </c>
      <c r="N33" s="1">
        <v>2</v>
      </c>
      <c r="O33" s="1" t="s">
        <v>279</v>
      </c>
      <c r="P33" s="1" t="s">
        <v>280</v>
      </c>
      <c r="Q33" s="1" t="s">
        <v>281</v>
      </c>
      <c r="R33" s="1">
        <v>17399643.31</v>
      </c>
      <c r="S33" s="1">
        <v>17401765.11</v>
      </c>
      <c r="T33" s="1">
        <v>17397177.77</v>
      </c>
      <c r="AA33" s="1" t="s">
        <v>279</v>
      </c>
      <c r="AC33" s="1">
        <v>17399643.31</v>
      </c>
      <c r="AE33" s="14">
        <f t="shared" si="3"/>
        <v>0.2620954465298</v>
      </c>
      <c r="AG33" s="29">
        <v>0.01</v>
      </c>
      <c r="AL33" s="33" t="s">
        <v>282</v>
      </c>
      <c r="AM33" s="33" t="s">
        <v>283</v>
      </c>
    </row>
    <row r="34" s="1" customFormat="1" ht="202" hidden="1" spans="1:39">
      <c r="A34" s="1">
        <v>33</v>
      </c>
      <c r="B34" s="5">
        <v>45803</v>
      </c>
      <c r="C34" s="1" t="s">
        <v>41</v>
      </c>
      <c r="D34" s="1" t="s">
        <v>268</v>
      </c>
      <c r="E34" s="1" t="s">
        <v>284</v>
      </c>
      <c r="F34" s="1">
        <v>40800000</v>
      </c>
      <c r="H34" s="1" t="s">
        <v>285</v>
      </c>
      <c r="I34" s="1" t="s">
        <v>262</v>
      </c>
      <c r="J34" s="1" t="s">
        <v>99</v>
      </c>
      <c r="K34" s="1" t="s">
        <v>100</v>
      </c>
      <c r="L34" s="1" t="s">
        <v>101</v>
      </c>
      <c r="M34" s="1">
        <v>15</v>
      </c>
      <c r="N34" s="1">
        <v>2</v>
      </c>
      <c r="O34" s="1" t="s">
        <v>286</v>
      </c>
      <c r="P34" s="1" t="s">
        <v>287</v>
      </c>
      <c r="Q34" s="28"/>
      <c r="R34" s="14"/>
      <c r="S34" s="14"/>
      <c r="T34" s="14"/>
      <c r="X34" s="14">
        <v>0.146</v>
      </c>
      <c r="Y34" s="14"/>
      <c r="AA34" s="1" t="s">
        <v>286</v>
      </c>
      <c r="AC34" s="14"/>
      <c r="AD34" s="14">
        <v>0.146</v>
      </c>
      <c r="AE34" s="14">
        <v>0.146</v>
      </c>
      <c r="AG34" s="14">
        <v>0.005</v>
      </c>
      <c r="AL34" s="33" t="s">
        <v>288</v>
      </c>
      <c r="AM34" s="33" t="s">
        <v>289</v>
      </c>
    </row>
    <row r="35" s="1" customFormat="1" ht="84" hidden="1" spans="1:39">
      <c r="A35" s="1">
        <v>34</v>
      </c>
      <c r="B35" s="5">
        <v>45796</v>
      </c>
      <c r="C35" s="1" t="s">
        <v>41</v>
      </c>
      <c r="D35" s="1" t="s">
        <v>268</v>
      </c>
      <c r="E35" s="1" t="s">
        <v>290</v>
      </c>
      <c r="F35" s="1">
        <v>6777049</v>
      </c>
      <c r="H35" s="1" t="s">
        <v>291</v>
      </c>
      <c r="I35" s="1" t="s">
        <v>292</v>
      </c>
      <c r="J35" s="1" t="s">
        <v>46</v>
      </c>
      <c r="K35" s="1" t="s">
        <v>47</v>
      </c>
      <c r="L35" s="1" t="s">
        <v>77</v>
      </c>
      <c r="M35" s="1">
        <v>280</v>
      </c>
      <c r="N35" s="1">
        <v>0</v>
      </c>
      <c r="O35" s="1" t="s">
        <v>293</v>
      </c>
      <c r="P35" s="1" t="s">
        <v>294</v>
      </c>
      <c r="Q35" s="1" t="s">
        <v>295</v>
      </c>
      <c r="R35" s="1">
        <v>5079011</v>
      </c>
      <c r="S35" s="1">
        <v>5077018.4</v>
      </c>
      <c r="T35" s="1">
        <v>5072191</v>
      </c>
      <c r="AA35" s="1" t="s">
        <v>293</v>
      </c>
      <c r="AC35" s="1">
        <v>5079011</v>
      </c>
      <c r="AE35" s="14">
        <f>(1-AC35/F35)</f>
        <v>0.250557137774863</v>
      </c>
      <c r="AG35" s="29">
        <v>0.01</v>
      </c>
      <c r="AL35" s="33" t="s">
        <v>296</v>
      </c>
      <c r="AM35" s="33" t="s">
        <v>297</v>
      </c>
    </row>
    <row r="36" s="1" customFormat="1" ht="84" hidden="1" spans="1:39">
      <c r="A36" s="1">
        <v>35</v>
      </c>
      <c r="B36" s="5">
        <v>45783</v>
      </c>
      <c r="C36" s="1" t="s">
        <v>41</v>
      </c>
      <c r="D36" s="1" t="s">
        <v>268</v>
      </c>
      <c r="E36" s="1" t="s">
        <v>298</v>
      </c>
      <c r="F36" s="1">
        <v>6095745.59</v>
      </c>
      <c r="H36" s="1" t="s">
        <v>299</v>
      </c>
      <c r="I36" s="1" t="s">
        <v>300</v>
      </c>
      <c r="J36" s="1" t="s">
        <v>46</v>
      </c>
      <c r="K36" s="1" t="s">
        <v>47</v>
      </c>
      <c r="L36" s="1" t="s">
        <v>77</v>
      </c>
      <c r="M36" s="1">
        <v>299</v>
      </c>
      <c r="N36" s="1">
        <v>0</v>
      </c>
      <c r="O36" s="1" t="s">
        <v>301</v>
      </c>
      <c r="P36" s="1" t="s">
        <v>302</v>
      </c>
      <c r="Q36" s="1" t="s">
        <v>303</v>
      </c>
      <c r="R36" s="1">
        <v>4491672.87</v>
      </c>
      <c r="S36" s="1">
        <v>4490497.19</v>
      </c>
      <c r="T36" s="1">
        <v>4491093.56</v>
      </c>
      <c r="AA36" s="1" t="s">
        <v>301</v>
      </c>
      <c r="AC36" s="1">
        <v>4491672.87</v>
      </c>
      <c r="AE36" s="14">
        <f t="shared" ref="AE36:AE40" si="4">(1-AC36/F36)</f>
        <v>0.263146270840348</v>
      </c>
      <c r="AG36" s="14">
        <v>0.005</v>
      </c>
      <c r="AL36" s="33" t="s">
        <v>304</v>
      </c>
      <c r="AM36" s="33" t="s">
        <v>305</v>
      </c>
    </row>
    <row r="37" s="1" customFormat="1" ht="202" hidden="1" spans="1:39">
      <c r="A37" s="1">
        <v>36</v>
      </c>
      <c r="B37" s="5">
        <v>45777</v>
      </c>
      <c r="C37" s="1" t="s">
        <v>41</v>
      </c>
      <c r="D37" s="1" t="s">
        <v>268</v>
      </c>
      <c r="E37" s="1" t="s">
        <v>306</v>
      </c>
      <c r="F37" s="1">
        <v>6000000</v>
      </c>
      <c r="H37" s="1" t="s">
        <v>307</v>
      </c>
      <c r="I37" s="1" t="s">
        <v>271</v>
      </c>
      <c r="J37" s="1" t="s">
        <v>193</v>
      </c>
      <c r="K37" s="1" t="s">
        <v>100</v>
      </c>
      <c r="L37" s="1" t="s">
        <v>101</v>
      </c>
      <c r="M37" s="1">
        <v>3</v>
      </c>
      <c r="N37" s="1">
        <v>0</v>
      </c>
      <c r="O37" s="1" t="s">
        <v>308</v>
      </c>
      <c r="P37" s="1" t="s">
        <v>309</v>
      </c>
      <c r="Q37" s="1" t="s">
        <v>310</v>
      </c>
      <c r="R37" s="14"/>
      <c r="S37" s="14"/>
      <c r="T37" s="14"/>
      <c r="X37" s="14">
        <v>0.148</v>
      </c>
      <c r="Y37" s="14"/>
      <c r="Z37" s="14">
        <v>0.141</v>
      </c>
      <c r="AA37" s="1" t="s">
        <v>308</v>
      </c>
      <c r="AC37" s="14"/>
      <c r="AD37" s="14">
        <v>0.148</v>
      </c>
      <c r="AE37" s="14">
        <v>0.148</v>
      </c>
      <c r="AG37" s="29">
        <v>0.01</v>
      </c>
      <c r="AL37" s="33" t="s">
        <v>311</v>
      </c>
      <c r="AM37" s="33" t="s">
        <v>312</v>
      </c>
    </row>
    <row r="38" s="1" customFormat="1" ht="135" hidden="1" spans="1:41">
      <c r="A38" s="1">
        <v>37</v>
      </c>
      <c r="B38" s="5">
        <v>45765</v>
      </c>
      <c r="C38" s="1" t="s">
        <v>41</v>
      </c>
      <c r="D38" s="1" t="s">
        <v>268</v>
      </c>
      <c r="E38" s="1" t="s">
        <v>313</v>
      </c>
      <c r="F38" s="1">
        <v>1996423.96</v>
      </c>
      <c r="H38" s="1" t="s">
        <v>314</v>
      </c>
      <c r="I38" s="1" t="s">
        <v>262</v>
      </c>
      <c r="J38" s="1" t="s">
        <v>46</v>
      </c>
      <c r="K38" s="1" t="s">
        <v>100</v>
      </c>
      <c r="L38" s="1" t="s">
        <v>161</v>
      </c>
      <c r="M38" s="1">
        <v>21</v>
      </c>
      <c r="N38" s="1">
        <v>2</v>
      </c>
      <c r="O38" s="1" t="s">
        <v>315</v>
      </c>
      <c r="P38" s="1" t="s">
        <v>316</v>
      </c>
      <c r="R38" s="1">
        <v>1552059</v>
      </c>
      <c r="S38" s="1">
        <v>1547233.22</v>
      </c>
      <c r="AA38" s="1" t="s">
        <v>315</v>
      </c>
      <c r="AC38" s="1">
        <v>1552059</v>
      </c>
      <c r="AE38" s="14">
        <f t="shared" si="4"/>
        <v>0.222580458311069</v>
      </c>
      <c r="AG38" s="14">
        <v>-0.005</v>
      </c>
      <c r="AL38" s="33" t="s">
        <v>317</v>
      </c>
      <c r="AM38" s="33" t="s">
        <v>318</v>
      </c>
      <c r="AO38" s="33" t="s">
        <v>319</v>
      </c>
    </row>
    <row r="39" s="1" customFormat="1" ht="202" hidden="1" spans="1:39">
      <c r="A39" s="1">
        <v>38</v>
      </c>
      <c r="B39" s="5">
        <v>45763</v>
      </c>
      <c r="C39" s="1" t="s">
        <v>41</v>
      </c>
      <c r="D39" s="1" t="s">
        <v>268</v>
      </c>
      <c r="E39" s="1" t="s">
        <v>320</v>
      </c>
      <c r="F39" s="1">
        <v>9000000</v>
      </c>
      <c r="G39" s="1">
        <v>150000</v>
      </c>
      <c r="H39" s="1" t="s">
        <v>307</v>
      </c>
      <c r="I39" s="1" t="s">
        <v>321</v>
      </c>
      <c r="J39" s="1" t="s">
        <v>193</v>
      </c>
      <c r="K39" s="1" t="s">
        <v>100</v>
      </c>
      <c r="L39" s="1" t="s">
        <v>101</v>
      </c>
      <c r="M39" s="1">
        <v>4</v>
      </c>
      <c r="N39" s="1">
        <v>1</v>
      </c>
      <c r="O39" s="1" t="s">
        <v>322</v>
      </c>
      <c r="P39" s="1" t="s">
        <v>323</v>
      </c>
      <c r="Q39" s="1" t="s">
        <v>324</v>
      </c>
      <c r="X39" s="14">
        <v>0.145</v>
      </c>
      <c r="Y39" s="14"/>
      <c r="Z39" s="29">
        <v>0.14</v>
      </c>
      <c r="AA39" s="1" t="s">
        <v>322</v>
      </c>
      <c r="AD39" s="14">
        <v>0.145</v>
      </c>
      <c r="AE39" s="14">
        <v>0.145</v>
      </c>
      <c r="AG39" s="29">
        <v>0.01</v>
      </c>
      <c r="AL39" s="33" t="s">
        <v>325</v>
      </c>
      <c r="AM39" s="33" t="s">
        <v>326</v>
      </c>
    </row>
    <row r="40" s="1" customFormat="1" ht="185" hidden="1" spans="1:39">
      <c r="A40" s="1">
        <v>39</v>
      </c>
      <c r="B40" s="5">
        <v>45762</v>
      </c>
      <c r="C40" s="1" t="s">
        <v>41</v>
      </c>
      <c r="D40" s="1" t="s">
        <v>268</v>
      </c>
      <c r="E40" s="1" t="s">
        <v>327</v>
      </c>
      <c r="F40" s="1">
        <v>16343288.87</v>
      </c>
      <c r="H40" s="1" t="s">
        <v>328</v>
      </c>
      <c r="I40" s="1" t="s">
        <v>286</v>
      </c>
      <c r="J40" s="1" t="s">
        <v>46</v>
      </c>
      <c r="K40" s="1" t="s">
        <v>47</v>
      </c>
      <c r="L40" s="1" t="s">
        <v>77</v>
      </c>
      <c r="M40" s="1">
        <v>489</v>
      </c>
      <c r="N40" s="1">
        <v>0</v>
      </c>
      <c r="O40" s="1" t="s">
        <v>329</v>
      </c>
      <c r="P40" s="1" t="s">
        <v>330</v>
      </c>
      <c r="Q40" s="1" t="s">
        <v>331</v>
      </c>
      <c r="R40" s="1">
        <v>11401814.44</v>
      </c>
      <c r="S40" s="1">
        <v>11403434.3</v>
      </c>
      <c r="T40" s="1">
        <v>11400162.97</v>
      </c>
      <c r="AA40" s="1" t="s">
        <v>329</v>
      </c>
      <c r="AC40" s="1">
        <v>11401814.44</v>
      </c>
      <c r="AE40" s="14">
        <f t="shared" si="4"/>
        <v>0.302354958619782</v>
      </c>
      <c r="AG40" s="1">
        <v>0.015</v>
      </c>
      <c r="AL40" s="32" t="s">
        <v>332</v>
      </c>
      <c r="AM40" s="33" t="s">
        <v>333</v>
      </c>
    </row>
    <row r="41" s="1" customFormat="1" ht="219" hidden="1" spans="1:39">
      <c r="A41" s="1">
        <v>40</v>
      </c>
      <c r="B41" s="5">
        <v>45761</v>
      </c>
      <c r="C41" s="1" t="s">
        <v>41</v>
      </c>
      <c r="D41" s="1" t="s">
        <v>268</v>
      </c>
      <c r="E41" s="1" t="s">
        <v>334</v>
      </c>
      <c r="F41" s="1">
        <v>20000000</v>
      </c>
      <c r="H41" s="1" t="s">
        <v>270</v>
      </c>
      <c r="I41" s="1" t="s">
        <v>271</v>
      </c>
      <c r="J41" s="1" t="s">
        <v>193</v>
      </c>
      <c r="K41" s="1" t="s">
        <v>100</v>
      </c>
      <c r="L41" s="1" t="s">
        <v>101</v>
      </c>
      <c r="M41" s="1">
        <v>3</v>
      </c>
      <c r="N41" s="1">
        <v>0</v>
      </c>
      <c r="O41" s="1" t="s">
        <v>335</v>
      </c>
      <c r="P41" s="1" t="s">
        <v>336</v>
      </c>
      <c r="Q41" s="1" t="s">
        <v>337</v>
      </c>
      <c r="X41" s="14">
        <v>0.161</v>
      </c>
      <c r="Y41" s="14"/>
      <c r="Z41" s="14">
        <v>0.155</v>
      </c>
      <c r="AA41" s="1" t="s">
        <v>335</v>
      </c>
      <c r="AD41" s="14">
        <v>0.161</v>
      </c>
      <c r="AE41" s="14">
        <v>0.161</v>
      </c>
      <c r="AG41" s="29">
        <v>0.01</v>
      </c>
      <c r="AL41" s="32" t="s">
        <v>338</v>
      </c>
      <c r="AM41" s="33" t="s">
        <v>339</v>
      </c>
    </row>
    <row r="42" ht="185" hidden="1" spans="1:41">
      <c r="A42" s="1">
        <v>41</v>
      </c>
      <c r="B42" s="5">
        <v>45761</v>
      </c>
      <c r="C42" s="1" t="s">
        <v>41</v>
      </c>
      <c r="D42" s="1" t="s">
        <v>268</v>
      </c>
      <c r="E42" s="1" t="s">
        <v>340</v>
      </c>
      <c r="F42" s="1">
        <v>15079679.4</v>
      </c>
      <c r="G42" s="1"/>
      <c r="H42" s="1" t="s">
        <v>328</v>
      </c>
      <c r="I42" s="1" t="s">
        <v>286</v>
      </c>
      <c r="J42" s="1" t="s">
        <v>46</v>
      </c>
      <c r="K42" s="1" t="s">
        <v>47</v>
      </c>
      <c r="L42" s="1" t="s">
        <v>77</v>
      </c>
      <c r="M42" s="1">
        <v>486</v>
      </c>
      <c r="N42" s="1">
        <v>0</v>
      </c>
      <c r="O42" s="1" t="s">
        <v>341</v>
      </c>
      <c r="P42" s="1" t="s">
        <v>342</v>
      </c>
      <c r="Q42" s="1" t="s">
        <v>343</v>
      </c>
      <c r="R42" s="1">
        <v>11158010.56</v>
      </c>
      <c r="S42" s="1">
        <v>11155027.54</v>
      </c>
      <c r="T42" s="1">
        <v>11156465.51</v>
      </c>
      <c r="U42" s="1"/>
      <c r="AA42" s="1" t="s">
        <v>341</v>
      </c>
      <c r="AC42" s="18">
        <v>11158010.56</v>
      </c>
      <c r="AE42" s="16">
        <f t="shared" ref="AE42:AE45" si="5">(1-AC42/F42)</f>
        <v>0.260063144313267</v>
      </c>
      <c r="AG42" s="1">
        <v>0.015</v>
      </c>
      <c r="AL42" s="32" t="s">
        <v>344</v>
      </c>
      <c r="AM42" s="33" t="s">
        <v>345</v>
      </c>
      <c r="AO42" s="18"/>
    </row>
    <row r="43" ht="185" hidden="1" spans="1:41">
      <c r="A43" s="1">
        <v>42</v>
      </c>
      <c r="B43" s="17">
        <v>45757</v>
      </c>
      <c r="C43" s="1" t="s">
        <v>41</v>
      </c>
      <c r="D43" s="1" t="s">
        <v>268</v>
      </c>
      <c r="E43" s="1" t="s">
        <v>346</v>
      </c>
      <c r="F43" s="1">
        <v>13051799.07</v>
      </c>
      <c r="G43" s="1"/>
      <c r="H43" s="1" t="s">
        <v>328</v>
      </c>
      <c r="I43" s="1" t="s">
        <v>286</v>
      </c>
      <c r="J43" s="1" t="s">
        <v>46</v>
      </c>
      <c r="K43" s="1" t="s">
        <v>47</v>
      </c>
      <c r="L43" s="1" t="s">
        <v>77</v>
      </c>
      <c r="M43" s="1">
        <v>489</v>
      </c>
      <c r="N43" s="1">
        <v>0</v>
      </c>
      <c r="O43" s="1" t="s">
        <v>347</v>
      </c>
      <c r="P43" s="1" t="s">
        <v>348</v>
      </c>
      <c r="Q43" s="1" t="s">
        <v>349</v>
      </c>
      <c r="R43" s="1">
        <v>9970458.84</v>
      </c>
      <c r="S43" s="1">
        <v>9967674.18</v>
      </c>
      <c r="T43" s="1">
        <v>9969090.23</v>
      </c>
      <c r="U43" s="1"/>
      <c r="V43" s="1"/>
      <c r="W43" s="1"/>
      <c r="X43" s="1"/>
      <c r="Y43" s="1"/>
      <c r="Z43" s="1"/>
      <c r="AA43" s="1" t="s">
        <v>347</v>
      </c>
      <c r="AC43" s="1">
        <v>9970458.84</v>
      </c>
      <c r="AD43" s="1"/>
      <c r="AE43" s="16">
        <f t="shared" si="5"/>
        <v>0.236085478597549</v>
      </c>
      <c r="AF43" s="1"/>
      <c r="AG43" s="1">
        <v>0.005</v>
      </c>
      <c r="AL43" s="33" t="s">
        <v>350</v>
      </c>
      <c r="AM43" s="33" t="s">
        <v>351</v>
      </c>
      <c r="AO43" s="18"/>
    </row>
    <row r="44" ht="236" hidden="1" spans="1:41">
      <c r="A44" s="1">
        <v>43</v>
      </c>
      <c r="B44" s="17">
        <v>45757</v>
      </c>
      <c r="C44" s="1" t="s">
        <v>41</v>
      </c>
      <c r="D44" s="1" t="s">
        <v>268</v>
      </c>
      <c r="E44" s="1" t="s">
        <v>352</v>
      </c>
      <c r="F44" s="1">
        <v>7000000</v>
      </c>
      <c r="G44" s="1"/>
      <c r="H44" s="1" t="s">
        <v>353</v>
      </c>
      <c r="I44" s="1" t="s">
        <v>271</v>
      </c>
      <c r="J44" s="1" t="s">
        <v>193</v>
      </c>
      <c r="K44" s="1" t="s">
        <v>100</v>
      </c>
      <c r="L44" s="1" t="s">
        <v>101</v>
      </c>
      <c r="M44" s="1">
        <v>4</v>
      </c>
      <c r="N44" s="1">
        <v>0</v>
      </c>
      <c r="O44" s="1" t="s">
        <v>354</v>
      </c>
      <c r="P44" s="1" t="s">
        <v>355</v>
      </c>
      <c r="Q44" s="1" t="s">
        <v>356</v>
      </c>
      <c r="R44" s="1"/>
      <c r="S44" s="1"/>
      <c r="T44" s="1"/>
      <c r="U44" s="1"/>
      <c r="V44" s="1"/>
      <c r="W44" s="1"/>
      <c r="X44" s="14">
        <v>0.166</v>
      </c>
      <c r="Y44" s="14"/>
      <c r="Z44" s="14">
        <v>0.161</v>
      </c>
      <c r="AA44" s="1" t="s">
        <v>354</v>
      </c>
      <c r="AB44" s="1"/>
      <c r="AC44" s="1"/>
      <c r="AD44" s="14">
        <v>0.166</v>
      </c>
      <c r="AE44" s="14">
        <v>0.166</v>
      </c>
      <c r="AF44" s="1"/>
      <c r="AG44" s="14">
        <v>0.005</v>
      </c>
      <c r="AL44" s="33" t="s">
        <v>357</v>
      </c>
      <c r="AM44" s="33" t="s">
        <v>358</v>
      </c>
      <c r="AO44" s="18"/>
    </row>
    <row r="45" s="1" customFormat="1" ht="185" hidden="1" spans="1:39">
      <c r="A45" s="1">
        <v>44</v>
      </c>
      <c r="B45" s="5">
        <v>45747</v>
      </c>
      <c r="C45" s="1" t="s">
        <v>41</v>
      </c>
      <c r="D45" s="1" t="s">
        <v>268</v>
      </c>
      <c r="E45" s="1" t="s">
        <v>359</v>
      </c>
      <c r="F45" s="1">
        <v>10424216.66</v>
      </c>
      <c r="H45" s="1" t="s">
        <v>328</v>
      </c>
      <c r="I45" s="1" t="s">
        <v>286</v>
      </c>
      <c r="J45" s="1" t="s">
        <v>46</v>
      </c>
      <c r="K45" s="1" t="s">
        <v>47</v>
      </c>
      <c r="L45" s="1" t="s">
        <v>77</v>
      </c>
      <c r="M45" s="1">
        <v>473</v>
      </c>
      <c r="N45" s="1">
        <v>0</v>
      </c>
      <c r="O45" s="1" t="s">
        <v>360</v>
      </c>
      <c r="P45" s="1" t="s">
        <v>361</v>
      </c>
      <c r="Q45" s="1" t="s">
        <v>362</v>
      </c>
      <c r="R45" s="1">
        <v>7512197</v>
      </c>
      <c r="S45" s="1">
        <v>7510689</v>
      </c>
      <c r="T45" s="1">
        <v>7513704.66</v>
      </c>
      <c r="AA45" s="1" t="s">
        <v>360</v>
      </c>
      <c r="AC45" s="1">
        <v>7512197</v>
      </c>
      <c r="AE45" s="14">
        <f t="shared" si="5"/>
        <v>0.279351413634183</v>
      </c>
      <c r="AG45" s="1">
        <v>0.01</v>
      </c>
      <c r="AL45" s="33" t="s">
        <v>363</v>
      </c>
      <c r="AM45" s="33" t="s">
        <v>364</v>
      </c>
    </row>
    <row r="46" s="1" customFormat="1" ht="168" hidden="1" spans="1:39">
      <c r="A46" s="1">
        <v>45</v>
      </c>
      <c r="B46" s="5">
        <v>45720</v>
      </c>
      <c r="C46" s="1" t="s">
        <v>41</v>
      </c>
      <c r="D46" s="1" t="s">
        <v>268</v>
      </c>
      <c r="E46" s="1" t="s">
        <v>365</v>
      </c>
      <c r="F46" s="1">
        <v>8086743.54</v>
      </c>
      <c r="H46" s="1" t="s">
        <v>328</v>
      </c>
      <c r="I46" s="1" t="s">
        <v>366</v>
      </c>
      <c r="J46" s="1" t="s">
        <v>46</v>
      </c>
      <c r="K46" s="1" t="s">
        <v>47</v>
      </c>
      <c r="L46" s="1" t="s">
        <v>77</v>
      </c>
      <c r="M46" s="1">
        <v>399</v>
      </c>
      <c r="N46" s="1">
        <v>2</v>
      </c>
      <c r="O46" s="1" t="s">
        <v>367</v>
      </c>
      <c r="P46" s="1" t="s">
        <v>368</v>
      </c>
      <c r="Q46" s="1" t="s">
        <v>369</v>
      </c>
      <c r="R46" s="1">
        <v>5694000</v>
      </c>
      <c r="S46" s="1">
        <v>5694667.01</v>
      </c>
      <c r="T46" s="1">
        <v>5691306.66</v>
      </c>
      <c r="AA46" s="1" t="s">
        <v>367</v>
      </c>
      <c r="AC46" s="1">
        <v>5694000</v>
      </c>
      <c r="AE46" s="14">
        <f t="shared" ref="AE46:AE86" si="6">(1-AC46/F46)</f>
        <v>0.295884681907447</v>
      </c>
      <c r="AG46" s="1">
        <v>0.015</v>
      </c>
      <c r="AL46" s="33" t="s">
        <v>370</v>
      </c>
      <c r="AM46" s="33" t="s">
        <v>371</v>
      </c>
    </row>
    <row r="47" s="1" customFormat="1" ht="269" hidden="1" spans="1:39">
      <c r="A47" s="1">
        <v>46</v>
      </c>
      <c r="B47" s="5">
        <v>45714</v>
      </c>
      <c r="C47" s="1" t="s">
        <v>41</v>
      </c>
      <c r="D47" s="1" t="s">
        <v>268</v>
      </c>
      <c r="E47" s="1" t="s">
        <v>372</v>
      </c>
      <c r="F47" s="1">
        <v>2533.29</v>
      </c>
      <c r="H47" s="1" t="s">
        <v>373</v>
      </c>
      <c r="I47" s="1" t="s">
        <v>262</v>
      </c>
      <c r="J47" s="1" t="s">
        <v>99</v>
      </c>
      <c r="K47" s="1" t="s">
        <v>100</v>
      </c>
      <c r="L47" s="1" t="s">
        <v>101</v>
      </c>
      <c r="M47" s="1">
        <v>10</v>
      </c>
      <c r="N47" s="1">
        <v>0</v>
      </c>
      <c r="O47" s="1" t="s">
        <v>374</v>
      </c>
      <c r="P47" s="1" t="s">
        <v>375</v>
      </c>
      <c r="R47" s="14">
        <v>0.155</v>
      </c>
      <c r="S47" s="14">
        <v>0.1856</v>
      </c>
      <c r="AA47" s="1" t="s">
        <v>374</v>
      </c>
      <c r="AC47" s="14">
        <v>0.155</v>
      </c>
      <c r="AD47" s="14"/>
      <c r="AE47" s="14">
        <v>0.155</v>
      </c>
      <c r="AG47" s="29">
        <v>0</v>
      </c>
      <c r="AL47" s="33" t="s">
        <v>376</v>
      </c>
      <c r="AM47" s="33" t="s">
        <v>377</v>
      </c>
    </row>
    <row r="48" s="1" customFormat="1" ht="168" hidden="1" spans="1:41">
      <c r="A48" s="1">
        <v>47</v>
      </c>
      <c r="B48" s="5">
        <v>45706</v>
      </c>
      <c r="C48" s="1" t="s">
        <v>41</v>
      </c>
      <c r="D48" s="1" t="s">
        <v>268</v>
      </c>
      <c r="E48" s="1" t="s">
        <v>378</v>
      </c>
      <c r="F48" s="1">
        <v>21220675.76</v>
      </c>
      <c r="H48" s="1" t="s">
        <v>379</v>
      </c>
      <c r="I48" s="1" t="s">
        <v>140</v>
      </c>
      <c r="J48" s="1" t="s">
        <v>46</v>
      </c>
      <c r="K48" s="1" t="s">
        <v>100</v>
      </c>
      <c r="L48" s="1" t="s">
        <v>161</v>
      </c>
      <c r="M48" s="1">
        <v>38</v>
      </c>
      <c r="N48" s="1">
        <v>0</v>
      </c>
      <c r="O48" s="1" t="s">
        <v>380</v>
      </c>
      <c r="P48" s="1" t="s">
        <v>381</v>
      </c>
      <c r="Q48" s="1" t="s">
        <v>382</v>
      </c>
      <c r="R48" s="1">
        <v>16025984.16</v>
      </c>
      <c r="S48" s="1">
        <v>15800002.94</v>
      </c>
      <c r="T48" s="1">
        <v>15641542.6</v>
      </c>
      <c r="AA48" s="1" t="s">
        <v>380</v>
      </c>
      <c r="AC48" s="1">
        <v>16025984.16</v>
      </c>
      <c r="AE48" s="14">
        <f t="shared" si="6"/>
        <v>0.24479388209643</v>
      </c>
      <c r="AL48" s="33" t="s">
        <v>383</v>
      </c>
      <c r="AM48" s="33" t="s">
        <v>384</v>
      </c>
      <c r="AO48" s="32" t="s">
        <v>385</v>
      </c>
    </row>
    <row r="49" s="1" customFormat="1" ht="152" hidden="1" spans="1:39">
      <c r="A49" s="1">
        <v>48</v>
      </c>
      <c r="B49" s="5">
        <v>45702</v>
      </c>
      <c r="C49" s="1" t="s">
        <v>41</v>
      </c>
      <c r="D49" s="1" t="s">
        <v>268</v>
      </c>
      <c r="E49" s="1" t="s">
        <v>386</v>
      </c>
      <c r="F49" s="1">
        <v>24000000</v>
      </c>
      <c r="H49" s="1" t="s">
        <v>387</v>
      </c>
      <c r="I49" s="1" t="s">
        <v>262</v>
      </c>
      <c r="J49" s="1" t="s">
        <v>193</v>
      </c>
      <c r="K49" s="1" t="s">
        <v>100</v>
      </c>
      <c r="L49" s="1" t="s">
        <v>101</v>
      </c>
      <c r="M49" s="1">
        <v>3</v>
      </c>
      <c r="N49" s="1">
        <v>0</v>
      </c>
      <c r="O49" s="1" t="s">
        <v>286</v>
      </c>
      <c r="P49" s="1" t="s">
        <v>388</v>
      </c>
      <c r="X49" s="14">
        <v>0.0818</v>
      </c>
      <c r="Y49" s="14"/>
      <c r="AA49" s="1" t="s">
        <v>286</v>
      </c>
      <c r="AD49" s="14">
        <v>0.0818</v>
      </c>
      <c r="AE49" s="14">
        <v>0.0818</v>
      </c>
      <c r="AG49" s="29">
        <v>0</v>
      </c>
      <c r="AL49" s="33" t="s">
        <v>389</v>
      </c>
      <c r="AM49" s="33" t="s">
        <v>390</v>
      </c>
    </row>
    <row r="50" s="1" customFormat="1" ht="185" hidden="1" spans="1:39">
      <c r="A50" s="1">
        <v>49</v>
      </c>
      <c r="B50" s="5">
        <v>45663</v>
      </c>
      <c r="C50" s="1" t="s">
        <v>41</v>
      </c>
      <c r="D50" s="1" t="s">
        <v>268</v>
      </c>
      <c r="E50" s="1" t="s">
        <v>391</v>
      </c>
      <c r="F50" s="1">
        <v>9970000</v>
      </c>
      <c r="H50" s="1" t="s">
        <v>392</v>
      </c>
      <c r="I50" s="1" t="s">
        <v>393</v>
      </c>
      <c r="J50" s="1" t="s">
        <v>99</v>
      </c>
      <c r="K50" s="1" t="s">
        <v>100</v>
      </c>
      <c r="L50" s="1" t="s">
        <v>101</v>
      </c>
      <c r="M50" s="1">
        <v>27</v>
      </c>
      <c r="N50" s="1">
        <v>0</v>
      </c>
      <c r="O50" s="1" t="s">
        <v>394</v>
      </c>
      <c r="P50" s="1" t="s">
        <v>395</v>
      </c>
      <c r="Q50" s="1" t="s">
        <v>396</v>
      </c>
      <c r="X50" s="14">
        <v>0.2189</v>
      </c>
      <c r="Y50" s="14"/>
      <c r="Z50" s="14">
        <v>0.1792</v>
      </c>
      <c r="AA50" s="1" t="s">
        <v>394</v>
      </c>
      <c r="AD50" s="14">
        <v>0.2189</v>
      </c>
      <c r="AE50" s="14">
        <v>0.2189</v>
      </c>
      <c r="AG50" s="14">
        <v>-0.005</v>
      </c>
      <c r="AL50" s="33" t="s">
        <v>397</v>
      </c>
      <c r="AM50" s="33" t="s">
        <v>398</v>
      </c>
    </row>
    <row r="51" s="1" customFormat="1" ht="84" hidden="1" spans="1:39">
      <c r="A51" s="1">
        <v>50</v>
      </c>
      <c r="B51" s="5">
        <v>45821</v>
      </c>
      <c r="C51" s="1" t="s">
        <v>41</v>
      </c>
      <c r="D51" s="1" t="s">
        <v>399</v>
      </c>
      <c r="E51" s="1" t="s">
        <v>400</v>
      </c>
      <c r="F51" s="1">
        <v>14771910.16</v>
      </c>
      <c r="H51" s="1" t="s">
        <v>401</v>
      </c>
      <c r="I51" s="1" t="s">
        <v>402</v>
      </c>
      <c r="J51" s="1" t="s">
        <v>46</v>
      </c>
      <c r="K51" s="1" t="s">
        <v>47</v>
      </c>
      <c r="L51" s="1" t="s">
        <v>77</v>
      </c>
      <c r="M51" s="1">
        <v>813</v>
      </c>
      <c r="N51" s="1">
        <v>0</v>
      </c>
      <c r="O51" s="1" t="s">
        <v>403</v>
      </c>
      <c r="R51" s="1">
        <v>11221684.23</v>
      </c>
      <c r="AA51" s="1" t="s">
        <v>403</v>
      </c>
      <c r="AC51" s="1">
        <v>11221684.23</v>
      </c>
      <c r="AE51" s="14">
        <f t="shared" si="6"/>
        <v>0.240336279570225</v>
      </c>
      <c r="AG51" s="14">
        <v>0.005</v>
      </c>
      <c r="AL51" s="33" t="s">
        <v>404</v>
      </c>
      <c r="AM51" s="33" t="s">
        <v>405</v>
      </c>
    </row>
    <row r="52" s="1" customFormat="1" ht="68" hidden="1" spans="1:39">
      <c r="A52" s="1">
        <v>51</v>
      </c>
      <c r="B52" s="5">
        <v>45790</v>
      </c>
      <c r="C52" s="1" t="s">
        <v>41</v>
      </c>
      <c r="D52" s="1" t="s">
        <v>399</v>
      </c>
      <c r="E52" s="1" t="s">
        <v>406</v>
      </c>
      <c r="F52" s="1">
        <v>11998986.77</v>
      </c>
      <c r="H52" s="1" t="s">
        <v>407</v>
      </c>
      <c r="I52" s="1" t="s">
        <v>408</v>
      </c>
      <c r="J52" s="1" t="s">
        <v>46</v>
      </c>
      <c r="K52" s="1" t="s">
        <v>47</v>
      </c>
      <c r="L52" s="1" t="s">
        <v>77</v>
      </c>
      <c r="M52" s="1">
        <v>547</v>
      </c>
      <c r="N52" s="1">
        <v>0</v>
      </c>
      <c r="O52" s="1" t="s">
        <v>409</v>
      </c>
      <c r="R52" s="1">
        <v>9297498</v>
      </c>
      <c r="AA52" s="1" t="s">
        <v>409</v>
      </c>
      <c r="AC52" s="1">
        <v>9297498</v>
      </c>
      <c r="AE52" s="14">
        <f t="shared" si="6"/>
        <v>0.225143074309765</v>
      </c>
      <c r="AG52" s="14">
        <v>0.005</v>
      </c>
      <c r="AL52" s="33" t="s">
        <v>410</v>
      </c>
      <c r="AM52" s="33" t="s">
        <v>411</v>
      </c>
    </row>
    <row r="53" s="1" customFormat="1" ht="84" hidden="1" spans="1:39">
      <c r="A53" s="1">
        <v>52</v>
      </c>
      <c r="B53" s="5">
        <v>45786</v>
      </c>
      <c r="C53" s="1" t="s">
        <v>41</v>
      </c>
      <c r="D53" s="1" t="s">
        <v>399</v>
      </c>
      <c r="E53" s="1" t="s">
        <v>412</v>
      </c>
      <c r="F53" s="1">
        <v>6994767.17</v>
      </c>
      <c r="H53" s="1" t="s">
        <v>413</v>
      </c>
      <c r="I53" s="1" t="s">
        <v>414</v>
      </c>
      <c r="J53" s="1" t="s">
        <v>46</v>
      </c>
      <c r="K53" s="1" t="s">
        <v>47</v>
      </c>
      <c r="L53" s="1" t="s">
        <v>77</v>
      </c>
      <c r="M53" s="1">
        <v>446</v>
      </c>
      <c r="N53" s="1">
        <v>0</v>
      </c>
      <c r="O53" s="1" t="s">
        <v>415</v>
      </c>
      <c r="R53" s="1">
        <v>5462767.03</v>
      </c>
      <c r="AA53" s="1" t="s">
        <v>415</v>
      </c>
      <c r="AC53" s="1">
        <v>5462767.03</v>
      </c>
      <c r="AE53" s="14">
        <f t="shared" si="6"/>
        <v>0.219020891298659</v>
      </c>
      <c r="AG53" s="14">
        <v>0.005</v>
      </c>
      <c r="AL53" s="33" t="s">
        <v>416</v>
      </c>
      <c r="AM53" s="33" t="s">
        <v>417</v>
      </c>
    </row>
    <row r="54" s="1" customFormat="1" ht="68" hidden="1" spans="1:39">
      <c r="A54" s="1">
        <v>53</v>
      </c>
      <c r="B54" s="5">
        <v>45786</v>
      </c>
      <c r="C54" s="1" t="s">
        <v>41</v>
      </c>
      <c r="D54" s="1" t="s">
        <v>399</v>
      </c>
      <c r="E54" s="1" t="s">
        <v>418</v>
      </c>
      <c r="F54" s="1">
        <v>27992900.22</v>
      </c>
      <c r="H54" s="1" t="s">
        <v>419</v>
      </c>
      <c r="I54" s="1" t="s">
        <v>420</v>
      </c>
      <c r="J54" s="1" t="s">
        <v>46</v>
      </c>
      <c r="K54" s="1" t="s">
        <v>47</v>
      </c>
      <c r="L54" s="1" t="s">
        <v>77</v>
      </c>
      <c r="M54" s="1">
        <v>726</v>
      </c>
      <c r="N54" s="1">
        <v>2</v>
      </c>
      <c r="O54" s="1" t="s">
        <v>421</v>
      </c>
      <c r="R54" s="1">
        <v>21632964.27</v>
      </c>
      <c r="AA54" s="1" t="s">
        <v>421</v>
      </c>
      <c r="AC54" s="1">
        <v>21632964.27</v>
      </c>
      <c r="AE54" s="14">
        <f t="shared" si="6"/>
        <v>0.227198178824502</v>
      </c>
      <c r="AG54" s="14">
        <v>0.015</v>
      </c>
      <c r="AL54" s="33" t="s">
        <v>422</v>
      </c>
      <c r="AM54" s="33" t="s">
        <v>423</v>
      </c>
    </row>
    <row r="55" s="1" customFormat="1" ht="84" hidden="1" spans="1:39">
      <c r="A55" s="1">
        <v>54</v>
      </c>
      <c r="B55" s="5">
        <v>45784</v>
      </c>
      <c r="C55" s="1" t="s">
        <v>41</v>
      </c>
      <c r="D55" s="1" t="s">
        <v>399</v>
      </c>
      <c r="E55" s="1" t="s">
        <v>424</v>
      </c>
      <c r="F55" s="10">
        <v>3979347.13</v>
      </c>
      <c r="G55" s="10"/>
      <c r="H55" s="1" t="s">
        <v>425</v>
      </c>
      <c r="I55" s="1" t="s">
        <v>426</v>
      </c>
      <c r="J55" s="1" t="s">
        <v>46</v>
      </c>
      <c r="K55" s="1" t="s">
        <v>47</v>
      </c>
      <c r="L55" s="1" t="s">
        <v>77</v>
      </c>
      <c r="M55" s="1">
        <v>358</v>
      </c>
      <c r="N55" s="1">
        <v>0</v>
      </c>
      <c r="O55" s="1" t="s">
        <v>427</v>
      </c>
      <c r="R55" s="1">
        <v>3081655.69</v>
      </c>
      <c r="AA55" s="1" t="s">
        <v>427</v>
      </c>
      <c r="AC55" s="1">
        <v>3081655.69</v>
      </c>
      <c r="AE55" s="14">
        <f t="shared" si="6"/>
        <v>0.225587617936714</v>
      </c>
      <c r="AG55" s="29">
        <v>0</v>
      </c>
      <c r="AL55" s="33" t="s">
        <v>428</v>
      </c>
      <c r="AM55" s="33" t="s">
        <v>429</v>
      </c>
    </row>
    <row r="56" s="1" customFormat="1" ht="84" hidden="1" spans="1:39">
      <c r="A56" s="1">
        <v>55</v>
      </c>
      <c r="B56" s="5">
        <v>45784</v>
      </c>
      <c r="C56" s="1" t="s">
        <v>41</v>
      </c>
      <c r="D56" s="1" t="s">
        <v>399</v>
      </c>
      <c r="E56" s="1" t="s">
        <v>430</v>
      </c>
      <c r="F56" s="1">
        <v>1068797.42</v>
      </c>
      <c r="H56" s="1" t="s">
        <v>425</v>
      </c>
      <c r="I56" s="1" t="s">
        <v>426</v>
      </c>
      <c r="J56" s="1" t="s">
        <v>46</v>
      </c>
      <c r="K56" s="1" t="s">
        <v>47</v>
      </c>
      <c r="L56" s="1" t="s">
        <v>77</v>
      </c>
      <c r="M56" s="1">
        <v>256</v>
      </c>
      <c r="N56" s="1">
        <v>0</v>
      </c>
      <c r="O56" s="1" t="s">
        <v>431</v>
      </c>
      <c r="R56" s="1">
        <v>862008.97</v>
      </c>
      <c r="AA56" s="1" t="s">
        <v>431</v>
      </c>
      <c r="AC56" s="1">
        <v>862008.97</v>
      </c>
      <c r="AE56" s="14">
        <f t="shared" si="6"/>
        <v>0.193477684480189</v>
      </c>
      <c r="AG56" s="29">
        <v>0.01</v>
      </c>
      <c r="AL56" s="33" t="s">
        <v>432</v>
      </c>
      <c r="AM56" s="33" t="s">
        <v>433</v>
      </c>
    </row>
    <row r="57" s="1" customFormat="1" ht="84" hidden="1" spans="1:39">
      <c r="A57" s="1">
        <v>56</v>
      </c>
      <c r="B57" s="5">
        <v>45771</v>
      </c>
      <c r="C57" s="1" t="s">
        <v>41</v>
      </c>
      <c r="D57" s="1" t="s">
        <v>399</v>
      </c>
      <c r="E57" s="1" t="s">
        <v>434</v>
      </c>
      <c r="F57" s="1">
        <v>15999231.12</v>
      </c>
      <c r="H57" s="1" t="s">
        <v>407</v>
      </c>
      <c r="I57" s="1" t="s">
        <v>435</v>
      </c>
      <c r="J57" s="1" t="s">
        <v>46</v>
      </c>
      <c r="K57" s="1" t="s">
        <v>47</v>
      </c>
      <c r="L57" s="1" t="s">
        <v>77</v>
      </c>
      <c r="M57" s="1">
        <v>569</v>
      </c>
      <c r="N57" s="1">
        <v>0</v>
      </c>
      <c r="O57" s="1" t="s">
        <v>436</v>
      </c>
      <c r="R57" s="9">
        <v>12662060</v>
      </c>
      <c r="AA57" s="1" t="s">
        <v>436</v>
      </c>
      <c r="AC57" s="9">
        <v>12662060</v>
      </c>
      <c r="AD57" s="9"/>
      <c r="AE57" s="14">
        <f t="shared" si="6"/>
        <v>0.208583218466563</v>
      </c>
      <c r="AG57" s="14">
        <v>0.005</v>
      </c>
      <c r="AL57" s="33" t="s">
        <v>437</v>
      </c>
      <c r="AM57" s="33" t="s">
        <v>438</v>
      </c>
    </row>
    <row r="58" s="1" customFormat="1" ht="84" hidden="1" spans="1:39">
      <c r="A58" s="1">
        <v>57</v>
      </c>
      <c r="B58" s="5">
        <v>45764</v>
      </c>
      <c r="C58" s="1" t="s">
        <v>41</v>
      </c>
      <c r="D58" s="1" t="s">
        <v>399</v>
      </c>
      <c r="E58" s="1" t="s">
        <v>439</v>
      </c>
      <c r="F58" s="1">
        <v>7496029.22</v>
      </c>
      <c r="H58" s="1" t="s">
        <v>440</v>
      </c>
      <c r="I58" s="1" t="s">
        <v>441</v>
      </c>
      <c r="J58" s="1" t="s">
        <v>46</v>
      </c>
      <c r="K58" s="1" t="s">
        <v>47</v>
      </c>
      <c r="L58" s="1" t="s">
        <v>77</v>
      </c>
      <c r="M58" s="1">
        <v>435</v>
      </c>
      <c r="N58" s="1">
        <v>0</v>
      </c>
      <c r="O58" s="1" t="s">
        <v>202</v>
      </c>
      <c r="R58" s="1">
        <v>5974535.25</v>
      </c>
      <c r="AA58" s="1" t="s">
        <v>202</v>
      </c>
      <c r="AC58" s="1">
        <v>5974535.25</v>
      </c>
      <c r="AE58" s="14">
        <f t="shared" si="6"/>
        <v>0.202973324322234</v>
      </c>
      <c r="AG58" s="14">
        <v>0.005</v>
      </c>
      <c r="AL58" s="33" t="s">
        <v>442</v>
      </c>
      <c r="AM58" s="33" t="s">
        <v>443</v>
      </c>
    </row>
    <row r="59" s="1" customFormat="1" ht="101" hidden="1" spans="1:39">
      <c r="A59" s="1">
        <v>58</v>
      </c>
      <c r="B59" s="5">
        <v>45762</v>
      </c>
      <c r="C59" s="1" t="s">
        <v>41</v>
      </c>
      <c r="D59" s="1" t="s">
        <v>399</v>
      </c>
      <c r="E59" s="1" t="s">
        <v>444</v>
      </c>
      <c r="F59" s="9">
        <v>1783629.1</v>
      </c>
      <c r="G59" s="9"/>
      <c r="H59" s="1" t="s">
        <v>445</v>
      </c>
      <c r="I59" s="1" t="s">
        <v>446</v>
      </c>
      <c r="J59" s="1" t="s">
        <v>46</v>
      </c>
      <c r="K59" s="1" t="s">
        <v>47</v>
      </c>
      <c r="L59" s="1" t="s">
        <v>77</v>
      </c>
      <c r="M59" s="1">
        <v>195</v>
      </c>
      <c r="N59" s="1">
        <v>2</v>
      </c>
      <c r="O59" s="1" t="s">
        <v>447</v>
      </c>
      <c r="P59" s="1"/>
      <c r="Q59" s="1"/>
      <c r="R59" s="1">
        <v>1430238.58</v>
      </c>
      <c r="S59" s="1"/>
      <c r="T59" s="1"/>
      <c r="AA59" s="1" t="s">
        <v>447</v>
      </c>
      <c r="AC59" s="1">
        <v>1430238.58</v>
      </c>
      <c r="AE59" s="14">
        <f t="shared" si="6"/>
        <v>0.198130048450095</v>
      </c>
      <c r="AL59" s="33" t="s">
        <v>448</v>
      </c>
      <c r="AM59" s="33" t="s">
        <v>449</v>
      </c>
    </row>
    <row r="60" s="1" customFormat="1" ht="101" hidden="1" spans="1:39">
      <c r="A60" s="1">
        <v>59</v>
      </c>
      <c r="B60" s="5">
        <v>45754</v>
      </c>
      <c r="C60" s="1" t="s">
        <v>41</v>
      </c>
      <c r="D60" s="1" t="s">
        <v>399</v>
      </c>
      <c r="E60" s="1" t="s">
        <v>450</v>
      </c>
      <c r="F60" s="1">
        <v>11998770.68</v>
      </c>
      <c r="G60" s="1"/>
      <c r="H60" s="1" t="s">
        <v>451</v>
      </c>
      <c r="I60" s="1" t="s">
        <v>452</v>
      </c>
      <c r="J60" s="1" t="s">
        <v>46</v>
      </c>
      <c r="K60" s="1" t="s">
        <v>47</v>
      </c>
      <c r="L60" s="1" t="s">
        <v>77</v>
      </c>
      <c r="M60" s="1">
        <v>426</v>
      </c>
      <c r="N60" s="1">
        <v>0</v>
      </c>
      <c r="O60" s="1" t="s">
        <v>453</v>
      </c>
      <c r="P60" s="1"/>
      <c r="Q60" s="1"/>
      <c r="R60" s="1">
        <v>9984108.09</v>
      </c>
      <c r="S60" s="1"/>
      <c r="T60" s="1"/>
      <c r="AA60" s="1" t="s">
        <v>453</v>
      </c>
      <c r="AC60" s="1">
        <v>9984108.09</v>
      </c>
      <c r="AE60" s="14">
        <f t="shared" si="6"/>
        <v>0.167905749991382</v>
      </c>
      <c r="AG60" s="29">
        <v>0</v>
      </c>
      <c r="AL60" s="33" t="s">
        <v>454</v>
      </c>
      <c r="AM60" s="33" t="s">
        <v>455</v>
      </c>
    </row>
    <row r="61" s="1" customFormat="1" ht="84" hidden="1" spans="1:39">
      <c r="A61" s="1">
        <v>60</v>
      </c>
      <c r="B61" s="5">
        <v>45754</v>
      </c>
      <c r="C61" s="1" t="s">
        <v>41</v>
      </c>
      <c r="D61" s="1" t="s">
        <v>399</v>
      </c>
      <c r="E61" s="1" t="s">
        <v>456</v>
      </c>
      <c r="F61" s="1">
        <v>9793948.86</v>
      </c>
      <c r="G61" s="1"/>
      <c r="H61" s="1" t="s">
        <v>457</v>
      </c>
      <c r="I61" s="1" t="s">
        <v>441</v>
      </c>
      <c r="J61" s="1" t="s">
        <v>46</v>
      </c>
      <c r="K61" s="1" t="s">
        <v>47</v>
      </c>
      <c r="L61" s="1" t="s">
        <v>77</v>
      </c>
      <c r="M61" s="1">
        <v>426</v>
      </c>
      <c r="N61" s="1">
        <v>0</v>
      </c>
      <c r="O61" s="1" t="s">
        <v>458</v>
      </c>
      <c r="P61" s="1"/>
      <c r="Q61" s="1"/>
      <c r="R61" s="1">
        <v>8240447.48</v>
      </c>
      <c r="S61" s="1"/>
      <c r="T61" s="1"/>
      <c r="AA61" s="1" t="s">
        <v>458</v>
      </c>
      <c r="AC61" s="1">
        <v>8240447.48</v>
      </c>
      <c r="AE61" s="14">
        <f t="shared" si="6"/>
        <v>0.158618490070409</v>
      </c>
      <c r="AG61" s="14">
        <v>-0.005</v>
      </c>
      <c r="AL61" s="33" t="s">
        <v>459</v>
      </c>
      <c r="AM61" s="33" t="s">
        <v>460</v>
      </c>
    </row>
    <row r="62" s="1" customFormat="1" ht="84" hidden="1" spans="1:39">
      <c r="A62" s="1">
        <v>61</v>
      </c>
      <c r="B62" s="5">
        <v>45750</v>
      </c>
      <c r="C62" s="1" t="s">
        <v>41</v>
      </c>
      <c r="D62" s="1" t="s">
        <v>399</v>
      </c>
      <c r="E62" s="1" t="s">
        <v>461</v>
      </c>
      <c r="F62" s="1">
        <v>12995971.19</v>
      </c>
      <c r="G62" s="1"/>
      <c r="H62" s="1" t="s">
        <v>462</v>
      </c>
      <c r="I62" s="1" t="s">
        <v>463</v>
      </c>
      <c r="J62" s="1" t="s">
        <v>46</v>
      </c>
      <c r="K62" s="1" t="s">
        <v>47</v>
      </c>
      <c r="L62" s="1" t="s">
        <v>77</v>
      </c>
      <c r="M62" s="1">
        <v>434</v>
      </c>
      <c r="N62" s="1">
        <v>0</v>
      </c>
      <c r="O62" s="1" t="s">
        <v>464</v>
      </c>
      <c r="P62" s="1"/>
      <c r="Q62" s="1"/>
      <c r="R62" s="1">
        <v>10418919.09</v>
      </c>
      <c r="S62" s="1"/>
      <c r="T62" s="1"/>
      <c r="AA62" s="1" t="s">
        <v>464</v>
      </c>
      <c r="AC62" s="1">
        <v>10418919.09</v>
      </c>
      <c r="AE62" s="14">
        <f t="shared" si="6"/>
        <v>0.198296230602832</v>
      </c>
      <c r="AG62" s="14">
        <v>-0.005</v>
      </c>
      <c r="AL62" s="33" t="s">
        <v>465</v>
      </c>
      <c r="AM62" s="33" t="s">
        <v>466</v>
      </c>
    </row>
    <row r="63" s="1" customFormat="1" ht="68" hidden="1" spans="1:39">
      <c r="A63" s="1">
        <v>62</v>
      </c>
      <c r="B63" s="5">
        <v>45750</v>
      </c>
      <c r="C63" s="1" t="s">
        <v>41</v>
      </c>
      <c r="D63" s="1" t="s">
        <v>399</v>
      </c>
      <c r="E63" s="1" t="s">
        <v>467</v>
      </c>
      <c r="F63" s="1">
        <v>21990213.21</v>
      </c>
      <c r="G63" s="1"/>
      <c r="H63" s="1" t="s">
        <v>468</v>
      </c>
      <c r="I63" s="1" t="s">
        <v>469</v>
      </c>
      <c r="J63" s="1" t="s">
        <v>46</v>
      </c>
      <c r="K63" s="1" t="s">
        <v>47</v>
      </c>
      <c r="L63" s="1" t="s">
        <v>77</v>
      </c>
      <c r="M63" s="1">
        <v>438</v>
      </c>
      <c r="N63" s="1">
        <v>0</v>
      </c>
      <c r="O63" s="1" t="s">
        <v>470</v>
      </c>
      <c r="P63" s="1"/>
      <c r="Q63" s="1"/>
      <c r="R63" s="1">
        <v>18265152.12</v>
      </c>
      <c r="S63" s="1"/>
      <c r="T63" s="1"/>
      <c r="AA63" s="1" t="s">
        <v>470</v>
      </c>
      <c r="AC63" s="1">
        <v>18265152.12</v>
      </c>
      <c r="AE63" s="14">
        <f t="shared" si="6"/>
        <v>0.169396315280201</v>
      </c>
      <c r="AG63" s="14">
        <v>0.005</v>
      </c>
      <c r="AL63" s="33" t="s">
        <v>471</v>
      </c>
      <c r="AM63" s="33" t="s">
        <v>472</v>
      </c>
    </row>
    <row r="64" s="1" customFormat="1" ht="68" hidden="1" spans="1:39">
      <c r="A64" s="1">
        <v>63</v>
      </c>
      <c r="B64" s="5">
        <v>45750</v>
      </c>
      <c r="C64" s="1" t="s">
        <v>41</v>
      </c>
      <c r="D64" s="1" t="s">
        <v>399</v>
      </c>
      <c r="E64" s="1" t="s">
        <v>473</v>
      </c>
      <c r="F64" s="1">
        <v>29988397.93</v>
      </c>
      <c r="G64" s="1"/>
      <c r="H64" s="1" t="s">
        <v>468</v>
      </c>
      <c r="I64" s="1" t="s">
        <v>469</v>
      </c>
      <c r="J64" s="1" t="s">
        <v>46</v>
      </c>
      <c r="K64" s="1" t="s">
        <v>47</v>
      </c>
      <c r="L64" s="1" t="s">
        <v>77</v>
      </c>
      <c r="M64" s="1">
        <v>441</v>
      </c>
      <c r="N64" s="1">
        <v>0</v>
      </c>
      <c r="O64" s="1" t="s">
        <v>474</v>
      </c>
      <c r="P64" s="1"/>
      <c r="Q64" s="1"/>
      <c r="R64" s="1">
        <v>24585058.39</v>
      </c>
      <c r="S64" s="1"/>
      <c r="T64" s="1"/>
      <c r="AA64" s="1" t="s">
        <v>474</v>
      </c>
      <c r="AC64" s="1">
        <v>24585058.39</v>
      </c>
      <c r="AE64" s="14">
        <f t="shared" si="6"/>
        <v>0.180181000419318</v>
      </c>
      <c r="AG64" s="14">
        <v>0.015</v>
      </c>
      <c r="AL64" s="33" t="s">
        <v>475</v>
      </c>
      <c r="AM64" s="33" t="s">
        <v>476</v>
      </c>
    </row>
    <row r="65" s="1" customFormat="1" ht="84" hidden="1" spans="1:39">
      <c r="A65" s="1">
        <v>64</v>
      </c>
      <c r="B65" s="5">
        <v>45749</v>
      </c>
      <c r="C65" s="1" t="s">
        <v>41</v>
      </c>
      <c r="D65" s="1" t="s">
        <v>399</v>
      </c>
      <c r="E65" s="1" t="s">
        <v>477</v>
      </c>
      <c r="F65" s="1">
        <v>15914791.02</v>
      </c>
      <c r="G65" s="1"/>
      <c r="H65" s="1" t="s">
        <v>401</v>
      </c>
      <c r="I65" s="1" t="s">
        <v>478</v>
      </c>
      <c r="J65" s="1" t="s">
        <v>46</v>
      </c>
      <c r="K65" s="1" t="s">
        <v>47</v>
      </c>
      <c r="L65" s="1" t="s">
        <v>77</v>
      </c>
      <c r="M65" s="1">
        <v>437</v>
      </c>
      <c r="N65" s="1">
        <v>0</v>
      </c>
      <c r="O65" s="1" t="s">
        <v>479</v>
      </c>
      <c r="P65" s="1"/>
      <c r="Q65" s="1"/>
      <c r="R65" s="1">
        <v>13047901.99</v>
      </c>
      <c r="S65" s="1"/>
      <c r="T65" s="1"/>
      <c r="AA65" s="1" t="s">
        <v>479</v>
      </c>
      <c r="AC65" s="1">
        <v>13047901.99</v>
      </c>
      <c r="AE65" s="14">
        <f t="shared" si="6"/>
        <v>0.180139910501948</v>
      </c>
      <c r="AG65" s="14">
        <v>0.015</v>
      </c>
      <c r="AL65" s="33" t="s">
        <v>480</v>
      </c>
      <c r="AM65" s="33" t="s">
        <v>481</v>
      </c>
    </row>
    <row r="66" s="1" customFormat="1" ht="84" hidden="1" spans="1:39">
      <c r="A66" s="1">
        <v>65</v>
      </c>
      <c r="B66" s="5">
        <v>45748</v>
      </c>
      <c r="C66" s="1" t="s">
        <v>41</v>
      </c>
      <c r="D66" s="1" t="s">
        <v>399</v>
      </c>
      <c r="E66" s="1" t="s">
        <v>482</v>
      </c>
      <c r="F66" s="1">
        <v>9797436.58</v>
      </c>
      <c r="G66" s="1"/>
      <c r="H66" s="1" t="s">
        <v>483</v>
      </c>
      <c r="I66" s="1" t="s">
        <v>441</v>
      </c>
      <c r="J66" s="1" t="s">
        <v>46</v>
      </c>
      <c r="K66" s="1" t="s">
        <v>47</v>
      </c>
      <c r="L66" s="1" t="s">
        <v>77</v>
      </c>
      <c r="M66" s="1">
        <v>418</v>
      </c>
      <c r="N66" s="1">
        <v>0</v>
      </c>
      <c r="O66" s="1" t="s">
        <v>484</v>
      </c>
      <c r="P66" s="1"/>
      <c r="Q66" s="1"/>
      <c r="R66" s="1">
        <v>8078966.55</v>
      </c>
      <c r="S66" s="1"/>
      <c r="T66" s="1"/>
      <c r="AA66" s="1" t="s">
        <v>484</v>
      </c>
      <c r="AC66" s="1">
        <v>8078966.55</v>
      </c>
      <c r="AE66" s="14">
        <f t="shared" si="6"/>
        <v>0.175399964671167</v>
      </c>
      <c r="AG66" s="14">
        <v>0.005</v>
      </c>
      <c r="AL66" s="33" t="s">
        <v>485</v>
      </c>
      <c r="AM66" s="33" t="s">
        <v>486</v>
      </c>
    </row>
    <row r="67" s="1" customFormat="1" ht="84" hidden="1" spans="1:39">
      <c r="A67" s="1">
        <v>66</v>
      </c>
      <c r="B67" s="5">
        <v>45742</v>
      </c>
      <c r="C67" s="1" t="s">
        <v>41</v>
      </c>
      <c r="D67" s="1" t="s">
        <v>399</v>
      </c>
      <c r="E67" s="1" t="s">
        <v>487</v>
      </c>
      <c r="F67" s="1">
        <v>13474719.24</v>
      </c>
      <c r="G67" s="1"/>
      <c r="H67" s="1" t="s">
        <v>413</v>
      </c>
      <c r="I67" s="1" t="s">
        <v>414</v>
      </c>
      <c r="J67" s="1" t="s">
        <v>46</v>
      </c>
      <c r="K67" s="1" t="s">
        <v>47</v>
      </c>
      <c r="L67" s="1" t="s">
        <v>77</v>
      </c>
      <c r="M67" s="1">
        <v>415</v>
      </c>
      <c r="N67" s="1">
        <v>0</v>
      </c>
      <c r="O67" s="1" t="s">
        <v>293</v>
      </c>
      <c r="P67" s="1"/>
      <c r="Q67" s="1"/>
      <c r="R67" s="1">
        <v>10708972.86</v>
      </c>
      <c r="S67" s="1"/>
      <c r="T67" s="1"/>
      <c r="AA67" s="1" t="s">
        <v>293</v>
      </c>
      <c r="AC67" s="1">
        <v>10708972.86</v>
      </c>
      <c r="AE67" s="14">
        <f t="shared" si="6"/>
        <v>0.205254471780742</v>
      </c>
      <c r="AG67" s="29">
        <v>0</v>
      </c>
      <c r="AL67" s="32" t="s">
        <v>488</v>
      </c>
      <c r="AM67" s="33" t="s">
        <v>489</v>
      </c>
    </row>
    <row r="68" s="1" customFormat="1" ht="202" hidden="1" spans="1:41">
      <c r="A68" s="1">
        <v>67</v>
      </c>
      <c r="B68" s="5">
        <v>45722</v>
      </c>
      <c r="C68" s="1" t="s">
        <v>41</v>
      </c>
      <c r="D68" s="1" t="s">
        <v>399</v>
      </c>
      <c r="E68" s="1" t="s">
        <v>490</v>
      </c>
      <c r="F68" s="1">
        <v>1597688.73</v>
      </c>
      <c r="G68" s="1"/>
      <c r="H68" s="1" t="s">
        <v>491</v>
      </c>
      <c r="I68" s="1" t="s">
        <v>452</v>
      </c>
      <c r="J68" s="1" t="s">
        <v>46</v>
      </c>
      <c r="K68" s="1" t="s">
        <v>100</v>
      </c>
      <c r="L68" s="1" t="s">
        <v>161</v>
      </c>
      <c r="M68" s="1">
        <v>27</v>
      </c>
      <c r="N68" s="1">
        <v>6</v>
      </c>
      <c r="O68" s="1" t="s">
        <v>492</v>
      </c>
      <c r="P68" s="1"/>
      <c r="Q68" s="1"/>
      <c r="R68" s="1">
        <v>1209130.83</v>
      </c>
      <c r="S68" s="1"/>
      <c r="T68" s="1"/>
      <c r="AA68" s="1" t="s">
        <v>492</v>
      </c>
      <c r="AC68" s="1">
        <v>1209130.83</v>
      </c>
      <c r="AE68" s="14">
        <f t="shared" si="6"/>
        <v>0.243200000540781</v>
      </c>
      <c r="AG68" s="29">
        <v>0.01</v>
      </c>
      <c r="AL68" s="33" t="s">
        <v>493</v>
      </c>
      <c r="AM68" s="33" t="s">
        <v>494</v>
      </c>
      <c r="AO68" s="33" t="s">
        <v>495</v>
      </c>
    </row>
    <row r="69" s="1" customFormat="1" ht="101" hidden="1" spans="1:39">
      <c r="A69" s="1">
        <v>68</v>
      </c>
      <c r="B69" s="5">
        <v>45680</v>
      </c>
      <c r="C69" s="1" t="s">
        <v>41</v>
      </c>
      <c r="D69" s="1" t="s">
        <v>399</v>
      </c>
      <c r="E69" s="1" t="s">
        <v>496</v>
      </c>
      <c r="F69" s="1">
        <v>11878672.27</v>
      </c>
      <c r="G69" s="1"/>
      <c r="H69" s="1" t="s">
        <v>497</v>
      </c>
      <c r="I69" s="1" t="s">
        <v>452</v>
      </c>
      <c r="J69" s="1" t="s">
        <v>46</v>
      </c>
      <c r="K69" s="1" t="s">
        <v>47</v>
      </c>
      <c r="L69" s="1" t="s">
        <v>77</v>
      </c>
      <c r="M69" s="1">
        <v>322</v>
      </c>
      <c r="N69" s="1">
        <v>1</v>
      </c>
      <c r="O69" s="1" t="s">
        <v>498</v>
      </c>
      <c r="P69" s="1"/>
      <c r="Q69" s="1"/>
      <c r="R69" s="1">
        <v>8559770</v>
      </c>
      <c r="S69" s="1"/>
      <c r="T69" s="1"/>
      <c r="AA69" s="1" t="s">
        <v>498</v>
      </c>
      <c r="AC69" s="1">
        <v>8559770</v>
      </c>
      <c r="AD69" s="1"/>
      <c r="AE69" s="14">
        <f t="shared" si="6"/>
        <v>0.279400104200366</v>
      </c>
      <c r="AG69" s="14">
        <v>0.015</v>
      </c>
      <c r="AL69" s="33" t="s">
        <v>499</v>
      </c>
      <c r="AM69" s="33" t="s">
        <v>500</v>
      </c>
    </row>
    <row r="70" s="1" customFormat="1" ht="84" hidden="1" spans="1:39">
      <c r="A70" s="1">
        <v>69</v>
      </c>
      <c r="B70" s="5">
        <v>45678</v>
      </c>
      <c r="C70" s="1" t="s">
        <v>41</v>
      </c>
      <c r="D70" s="1" t="s">
        <v>399</v>
      </c>
      <c r="E70" s="1" t="s">
        <v>501</v>
      </c>
      <c r="F70" s="1">
        <v>1134615.04</v>
      </c>
      <c r="G70" s="1"/>
      <c r="H70" s="1" t="s">
        <v>425</v>
      </c>
      <c r="I70" s="1" t="s">
        <v>502</v>
      </c>
      <c r="J70" s="1" t="s">
        <v>46</v>
      </c>
      <c r="K70" s="1" t="s">
        <v>47</v>
      </c>
      <c r="L70" s="1" t="s">
        <v>77</v>
      </c>
      <c r="M70" s="1">
        <v>242</v>
      </c>
      <c r="N70" s="1">
        <v>0</v>
      </c>
      <c r="O70" s="1" t="s">
        <v>503</v>
      </c>
      <c r="P70" s="1"/>
      <c r="Q70" s="1"/>
      <c r="R70" s="1">
        <v>825407.22</v>
      </c>
      <c r="S70" s="1"/>
      <c r="T70" s="1"/>
      <c r="AA70" s="1" t="s">
        <v>503</v>
      </c>
      <c r="AC70" s="1">
        <v>825407.22</v>
      </c>
      <c r="AD70" s="1"/>
      <c r="AE70" s="14">
        <f t="shared" si="6"/>
        <v>0.272522229213531</v>
      </c>
      <c r="AG70" s="14">
        <v>0.015</v>
      </c>
      <c r="AL70" s="33" t="s">
        <v>504</v>
      </c>
      <c r="AM70" s="33" t="s">
        <v>505</v>
      </c>
    </row>
    <row r="71" s="1" customFormat="1" ht="101" hidden="1" spans="1:39">
      <c r="A71" s="1">
        <v>70</v>
      </c>
      <c r="B71" s="5">
        <v>45667</v>
      </c>
      <c r="C71" s="1" t="s">
        <v>41</v>
      </c>
      <c r="D71" s="1" t="s">
        <v>399</v>
      </c>
      <c r="E71" s="1" t="s">
        <v>506</v>
      </c>
      <c r="F71" s="1">
        <v>17998064.8</v>
      </c>
      <c r="G71" s="1"/>
      <c r="H71" s="1" t="s">
        <v>425</v>
      </c>
      <c r="I71" s="1" t="s">
        <v>507</v>
      </c>
      <c r="J71" s="1" t="s">
        <v>46</v>
      </c>
      <c r="K71" s="1" t="s">
        <v>47</v>
      </c>
      <c r="L71" s="1" t="s">
        <v>77</v>
      </c>
      <c r="M71" s="1">
        <v>353</v>
      </c>
      <c r="N71" s="1">
        <v>0</v>
      </c>
      <c r="O71" s="1" t="s">
        <v>508</v>
      </c>
      <c r="P71" s="1"/>
      <c r="Q71" s="1"/>
      <c r="R71" s="1">
        <v>13416837.03</v>
      </c>
      <c r="S71" s="1"/>
      <c r="T71" s="1"/>
      <c r="AA71" s="1" t="s">
        <v>508</v>
      </c>
      <c r="AC71" s="1">
        <v>13416837.03</v>
      </c>
      <c r="AD71" s="1"/>
      <c r="AE71" s="14">
        <f t="shared" si="6"/>
        <v>0.254540019769237</v>
      </c>
      <c r="AG71" s="14">
        <v>0.015</v>
      </c>
      <c r="AL71" s="33" t="s">
        <v>509</v>
      </c>
      <c r="AM71" s="33" t="s">
        <v>510</v>
      </c>
    </row>
    <row r="72" s="1" customFormat="1" ht="101" hidden="1" spans="1:39">
      <c r="A72" s="1">
        <v>71</v>
      </c>
      <c r="B72" s="5">
        <v>45659</v>
      </c>
      <c r="C72" s="1" t="s">
        <v>41</v>
      </c>
      <c r="D72" s="1" t="s">
        <v>399</v>
      </c>
      <c r="E72" s="1" t="s">
        <v>511</v>
      </c>
      <c r="F72" s="1">
        <v>2798361.89</v>
      </c>
      <c r="G72" s="1"/>
      <c r="H72" s="1" t="s">
        <v>425</v>
      </c>
      <c r="I72" s="1" t="s">
        <v>512</v>
      </c>
      <c r="J72" s="1" t="s">
        <v>46</v>
      </c>
      <c r="K72" s="1" t="s">
        <v>47</v>
      </c>
      <c r="L72" s="1" t="s">
        <v>77</v>
      </c>
      <c r="M72" s="1">
        <v>304</v>
      </c>
      <c r="N72" s="1">
        <v>0</v>
      </c>
      <c r="O72" s="1" t="s">
        <v>368</v>
      </c>
      <c r="P72" s="1"/>
      <c r="Q72" s="1"/>
      <c r="R72" s="1">
        <v>2042440.01</v>
      </c>
      <c r="S72" s="1"/>
      <c r="T72" s="1"/>
      <c r="AA72" s="1" t="s">
        <v>368</v>
      </c>
      <c r="AC72" s="1">
        <v>2042440.01</v>
      </c>
      <c r="AD72" s="1"/>
      <c r="AE72" s="14">
        <f t="shared" si="6"/>
        <v>0.27013013674225</v>
      </c>
      <c r="AG72" s="29">
        <v>0</v>
      </c>
      <c r="AL72" s="33" t="s">
        <v>513</v>
      </c>
      <c r="AM72" s="33" t="s">
        <v>514</v>
      </c>
    </row>
    <row r="73" s="1" customFormat="1" ht="101" hidden="1" spans="1:39">
      <c r="A73" s="1">
        <v>72</v>
      </c>
      <c r="B73" s="5">
        <v>45659</v>
      </c>
      <c r="C73" s="1" t="s">
        <v>41</v>
      </c>
      <c r="D73" s="1" t="s">
        <v>399</v>
      </c>
      <c r="E73" s="1" t="s">
        <v>515</v>
      </c>
      <c r="F73" s="1">
        <v>4732424.07</v>
      </c>
      <c r="G73" s="1"/>
      <c r="H73" s="1" t="s">
        <v>425</v>
      </c>
      <c r="I73" s="1" t="s">
        <v>516</v>
      </c>
      <c r="J73" s="1" t="s">
        <v>46</v>
      </c>
      <c r="K73" s="1" t="s">
        <v>47</v>
      </c>
      <c r="L73" s="1" t="s">
        <v>77</v>
      </c>
      <c r="M73" s="1">
        <v>314</v>
      </c>
      <c r="N73" s="1">
        <v>0</v>
      </c>
      <c r="O73" s="1" t="s">
        <v>517</v>
      </c>
      <c r="P73" s="1"/>
      <c r="Q73" s="1"/>
      <c r="R73" s="1">
        <v>3460866.88</v>
      </c>
      <c r="S73" s="1"/>
      <c r="T73" s="1"/>
      <c r="AA73" s="1" t="s">
        <v>517</v>
      </c>
      <c r="AC73" s="1">
        <v>3460866.88</v>
      </c>
      <c r="AD73" s="1"/>
      <c r="AE73" s="14">
        <f t="shared" si="6"/>
        <v>0.268690457827039</v>
      </c>
      <c r="AG73" s="14">
        <v>0.005</v>
      </c>
      <c r="AL73" s="33" t="s">
        <v>518</v>
      </c>
      <c r="AM73" s="33" t="s">
        <v>519</v>
      </c>
    </row>
    <row r="74" s="1" customFormat="1" ht="101" hidden="1" spans="1:39">
      <c r="A74" s="1">
        <v>73</v>
      </c>
      <c r="B74" s="5">
        <v>45659</v>
      </c>
      <c r="C74" s="1" t="s">
        <v>41</v>
      </c>
      <c r="D74" s="1" t="s">
        <v>399</v>
      </c>
      <c r="E74" s="1" t="s">
        <v>520</v>
      </c>
      <c r="F74" s="1">
        <v>2641613.68</v>
      </c>
      <c r="G74" s="1"/>
      <c r="H74" s="1" t="s">
        <v>425</v>
      </c>
      <c r="I74" s="1" t="s">
        <v>521</v>
      </c>
      <c r="J74" s="1" t="s">
        <v>46</v>
      </c>
      <c r="K74" s="1" t="s">
        <v>47</v>
      </c>
      <c r="L74" s="1" t="s">
        <v>77</v>
      </c>
      <c r="M74" s="1">
        <v>304</v>
      </c>
      <c r="N74" s="1">
        <v>0</v>
      </c>
      <c r="O74" s="1" t="s">
        <v>209</v>
      </c>
      <c r="P74" s="1"/>
      <c r="Q74" s="1"/>
      <c r="R74" s="1">
        <v>1932287.57</v>
      </c>
      <c r="S74" s="1"/>
      <c r="T74" s="1"/>
      <c r="AA74" s="1" t="s">
        <v>209</v>
      </c>
      <c r="AC74" s="1">
        <v>1932287.57</v>
      </c>
      <c r="AD74" s="1"/>
      <c r="AE74" s="14">
        <f t="shared" si="6"/>
        <v>0.268520001758925</v>
      </c>
      <c r="AG74" s="29">
        <v>0</v>
      </c>
      <c r="AL74" s="33" t="s">
        <v>522</v>
      </c>
      <c r="AM74" s="33" t="s">
        <v>523</v>
      </c>
    </row>
    <row r="75" ht="101" hidden="1" spans="1:41">
      <c r="A75" s="1">
        <v>74</v>
      </c>
      <c r="B75" s="5">
        <v>45659</v>
      </c>
      <c r="C75" s="1" t="s">
        <v>41</v>
      </c>
      <c r="D75" s="18" t="s">
        <v>399</v>
      </c>
      <c r="E75" s="1" t="s">
        <v>524</v>
      </c>
      <c r="F75" s="18">
        <v>3350014.19</v>
      </c>
      <c r="H75" s="1" t="s">
        <v>425</v>
      </c>
      <c r="I75" s="1" t="s">
        <v>452</v>
      </c>
      <c r="J75" s="1" t="s">
        <v>46</v>
      </c>
      <c r="K75" s="1" t="s">
        <v>47</v>
      </c>
      <c r="L75" s="1" t="s">
        <v>77</v>
      </c>
      <c r="M75" s="18">
        <v>313</v>
      </c>
      <c r="N75" s="18">
        <v>0</v>
      </c>
      <c r="O75" s="1" t="s">
        <v>525</v>
      </c>
      <c r="R75" s="1">
        <v>2461757.93</v>
      </c>
      <c r="S75" s="1"/>
      <c r="T75" s="1"/>
      <c r="AA75" s="1" t="s">
        <v>525</v>
      </c>
      <c r="AC75" s="18">
        <v>2461757.93</v>
      </c>
      <c r="AE75" s="14">
        <f t="shared" si="6"/>
        <v>0.265149999260152</v>
      </c>
      <c r="AG75" s="14">
        <v>-0.005</v>
      </c>
      <c r="AL75" s="33" t="s">
        <v>526</v>
      </c>
      <c r="AM75" s="33" t="s">
        <v>527</v>
      </c>
      <c r="AO75" s="18"/>
    </row>
    <row r="76" s="1" customFormat="1" ht="152" hidden="1" spans="1:41">
      <c r="A76" s="1">
        <v>75</v>
      </c>
      <c r="B76" s="5">
        <v>45827</v>
      </c>
      <c r="C76" s="1" t="s">
        <v>41</v>
      </c>
      <c r="D76" s="1" t="s">
        <v>528</v>
      </c>
      <c r="E76" s="1" t="s">
        <v>529</v>
      </c>
      <c r="F76" s="9">
        <v>37836893</v>
      </c>
      <c r="G76" s="9"/>
      <c r="H76" s="1" t="s">
        <v>530</v>
      </c>
      <c r="I76" s="1" t="s">
        <v>262</v>
      </c>
      <c r="J76" s="1" t="s">
        <v>46</v>
      </c>
      <c r="K76" s="1" t="s">
        <v>100</v>
      </c>
      <c r="L76" s="1" t="s">
        <v>161</v>
      </c>
      <c r="M76" s="1">
        <v>20</v>
      </c>
      <c r="N76" s="1">
        <v>0</v>
      </c>
      <c r="O76" s="1" t="s">
        <v>531</v>
      </c>
      <c r="P76" s="1" t="s">
        <v>532</v>
      </c>
      <c r="Q76" s="1" t="s">
        <v>533</v>
      </c>
      <c r="R76" s="1">
        <v>31056635.52</v>
      </c>
      <c r="S76" s="1">
        <v>30750042.11</v>
      </c>
      <c r="T76" s="1">
        <v>30273298.09</v>
      </c>
      <c r="AA76" s="1" t="s">
        <v>531</v>
      </c>
      <c r="AC76" s="1">
        <v>31056635.52</v>
      </c>
      <c r="AD76" s="1"/>
      <c r="AE76" s="14">
        <f t="shared" si="6"/>
        <v>0.179196993791219</v>
      </c>
      <c r="AL76" s="33" t="s">
        <v>534</v>
      </c>
      <c r="AM76" s="33" t="s">
        <v>535</v>
      </c>
      <c r="AO76" s="33" t="s">
        <v>536</v>
      </c>
    </row>
    <row r="77" s="1" customFormat="1" ht="101" hidden="1" spans="1:39">
      <c r="A77" s="1">
        <v>76</v>
      </c>
      <c r="B77" s="5">
        <v>45827</v>
      </c>
      <c r="C77" s="1" t="s">
        <v>41</v>
      </c>
      <c r="D77" s="1" t="s">
        <v>528</v>
      </c>
      <c r="E77" s="1" t="s">
        <v>537</v>
      </c>
      <c r="F77" s="9">
        <v>1536433.6</v>
      </c>
      <c r="G77" s="9"/>
      <c r="H77" s="1" t="s">
        <v>538</v>
      </c>
      <c r="I77" s="1" t="s">
        <v>539</v>
      </c>
      <c r="J77" s="1" t="s">
        <v>46</v>
      </c>
      <c r="K77" s="1" t="s">
        <v>47</v>
      </c>
      <c r="L77" s="1" t="s">
        <v>77</v>
      </c>
      <c r="M77" s="1">
        <v>27</v>
      </c>
      <c r="N77" s="1">
        <v>0</v>
      </c>
      <c r="O77" s="1" t="s">
        <v>540</v>
      </c>
      <c r="P77" s="1" t="s">
        <v>112</v>
      </c>
      <c r="Q77" s="1"/>
      <c r="R77" s="1">
        <v>1041607.88</v>
      </c>
      <c r="S77" s="1">
        <v>1032577.48</v>
      </c>
      <c r="T77" s="1"/>
      <c r="AA77" s="1" t="s">
        <v>540</v>
      </c>
      <c r="AC77" s="1">
        <v>1041607.88</v>
      </c>
      <c r="AD77" s="1"/>
      <c r="AE77" s="14">
        <f t="shared" si="6"/>
        <v>0.32206124625236</v>
      </c>
      <c r="AG77" s="29">
        <v>0</v>
      </c>
      <c r="AL77" s="33" t="s">
        <v>541</v>
      </c>
      <c r="AM77" s="33" t="s">
        <v>542</v>
      </c>
    </row>
    <row r="78" s="1" customFormat="1" ht="84" hidden="1" spans="1:39">
      <c r="A78" s="1">
        <v>77</v>
      </c>
      <c r="B78" s="5">
        <v>45827</v>
      </c>
      <c r="C78" s="1" t="s">
        <v>41</v>
      </c>
      <c r="D78" s="1" t="s">
        <v>528</v>
      </c>
      <c r="E78" s="1" t="s">
        <v>543</v>
      </c>
      <c r="F78" s="1">
        <v>2994521.52</v>
      </c>
      <c r="G78" s="1"/>
      <c r="H78" s="1" t="s">
        <v>544</v>
      </c>
      <c r="I78" s="1" t="s">
        <v>545</v>
      </c>
      <c r="J78" s="1" t="s">
        <v>46</v>
      </c>
      <c r="K78" s="1" t="s">
        <v>47</v>
      </c>
      <c r="L78" s="1" t="s">
        <v>77</v>
      </c>
      <c r="M78" s="1">
        <v>269</v>
      </c>
      <c r="N78" s="1">
        <v>0</v>
      </c>
      <c r="O78" s="1" t="s">
        <v>546</v>
      </c>
      <c r="P78" s="1"/>
      <c r="Q78" s="1"/>
      <c r="R78" s="1">
        <v>2082650.26</v>
      </c>
      <c r="S78" s="1"/>
      <c r="T78" s="1"/>
      <c r="AA78" s="1" t="s">
        <v>546</v>
      </c>
      <c r="AC78" s="1">
        <v>2082650.26</v>
      </c>
      <c r="AD78" s="1"/>
      <c r="AE78" s="14">
        <f t="shared" si="6"/>
        <v>0.304513176448971</v>
      </c>
      <c r="AG78" s="14">
        <v>0.015</v>
      </c>
      <c r="AL78" s="33" t="s">
        <v>547</v>
      </c>
      <c r="AM78" s="33" t="s">
        <v>548</v>
      </c>
    </row>
    <row r="79" s="1" customFormat="1" ht="84" hidden="1" spans="1:39">
      <c r="A79" s="1">
        <v>78</v>
      </c>
      <c r="B79" s="5">
        <v>45827</v>
      </c>
      <c r="C79" s="1" t="s">
        <v>41</v>
      </c>
      <c r="D79" s="1" t="s">
        <v>528</v>
      </c>
      <c r="E79" s="1" t="s">
        <v>549</v>
      </c>
      <c r="F79" s="1">
        <v>1270384.64</v>
      </c>
      <c r="G79" s="1"/>
      <c r="H79" s="1" t="s">
        <v>544</v>
      </c>
      <c r="I79" s="1" t="s">
        <v>545</v>
      </c>
      <c r="J79" s="1" t="s">
        <v>46</v>
      </c>
      <c r="K79" s="1" t="s">
        <v>47</v>
      </c>
      <c r="L79" s="1" t="s">
        <v>77</v>
      </c>
      <c r="M79" s="1">
        <v>247</v>
      </c>
      <c r="N79" s="1">
        <v>0</v>
      </c>
      <c r="O79" s="1" t="s">
        <v>550</v>
      </c>
      <c r="P79" s="1"/>
      <c r="Q79" s="1"/>
      <c r="R79" s="9">
        <v>886100</v>
      </c>
      <c r="S79" s="1"/>
      <c r="T79" s="1"/>
      <c r="AA79" s="1" t="s">
        <v>550</v>
      </c>
      <c r="AC79" s="9">
        <v>886100</v>
      </c>
      <c r="AD79" s="9"/>
      <c r="AE79" s="14">
        <f t="shared" si="6"/>
        <v>0.302494715301344</v>
      </c>
      <c r="AG79" s="14">
        <v>0.015</v>
      </c>
      <c r="AL79" s="33" t="s">
        <v>551</v>
      </c>
      <c r="AM79" s="33" t="s">
        <v>552</v>
      </c>
    </row>
    <row r="80" s="1" customFormat="1" ht="101" hidden="1" spans="1:39">
      <c r="A80" s="1">
        <v>79</v>
      </c>
      <c r="B80" s="5">
        <v>45824</v>
      </c>
      <c r="C80" s="1" t="s">
        <v>41</v>
      </c>
      <c r="D80" s="1" t="s">
        <v>528</v>
      </c>
      <c r="E80" s="1" t="s">
        <v>553</v>
      </c>
      <c r="F80" s="1">
        <v>13527224.85</v>
      </c>
      <c r="G80" s="1"/>
      <c r="H80" s="1" t="s">
        <v>554</v>
      </c>
      <c r="I80" s="1" t="s">
        <v>555</v>
      </c>
      <c r="J80" s="1" t="s">
        <v>46</v>
      </c>
      <c r="K80" s="1" t="s">
        <v>47</v>
      </c>
      <c r="L80" s="1" t="s">
        <v>77</v>
      </c>
      <c r="M80" s="1">
        <v>2024</v>
      </c>
      <c r="N80" s="1">
        <v>4</v>
      </c>
      <c r="O80" s="1" t="s">
        <v>556</v>
      </c>
      <c r="P80" s="1"/>
      <c r="Q80" s="1"/>
      <c r="R80" s="1">
        <v>9566413.32</v>
      </c>
      <c r="S80" s="1"/>
      <c r="T80" s="1"/>
      <c r="AA80" s="1" t="s">
        <v>557</v>
      </c>
      <c r="AC80" s="1">
        <v>9566413.32</v>
      </c>
      <c r="AD80" s="1"/>
      <c r="AE80" s="14">
        <f t="shared" si="6"/>
        <v>0.292802963942748</v>
      </c>
      <c r="AG80" s="29">
        <v>0</v>
      </c>
      <c r="AL80" s="33" t="s">
        <v>558</v>
      </c>
      <c r="AM80" s="33" t="s">
        <v>559</v>
      </c>
    </row>
    <row r="81" s="1" customFormat="1" ht="68" hidden="1" spans="1:39">
      <c r="A81" s="1">
        <v>80</v>
      </c>
      <c r="B81" s="5">
        <v>45824</v>
      </c>
      <c r="C81" s="1" t="s">
        <v>41</v>
      </c>
      <c r="D81" s="1" t="s">
        <v>528</v>
      </c>
      <c r="E81" s="1" t="s">
        <v>560</v>
      </c>
      <c r="F81" s="1">
        <v>43576446.48</v>
      </c>
      <c r="G81" s="1"/>
      <c r="H81" s="1" t="s">
        <v>561</v>
      </c>
      <c r="I81" s="1" t="s">
        <v>562</v>
      </c>
      <c r="J81" s="1" t="s">
        <v>46</v>
      </c>
      <c r="K81" s="1" t="s">
        <v>47</v>
      </c>
      <c r="L81" s="1" t="s">
        <v>77</v>
      </c>
      <c r="M81" s="1">
        <v>1380</v>
      </c>
      <c r="N81" s="1">
        <v>2</v>
      </c>
      <c r="O81" s="1" t="s">
        <v>562</v>
      </c>
      <c r="P81" s="1"/>
      <c r="Q81" s="1"/>
      <c r="R81" s="1">
        <v>30788197.46</v>
      </c>
      <c r="S81" s="1"/>
      <c r="T81" s="1"/>
      <c r="AA81" s="1" t="s">
        <v>562</v>
      </c>
      <c r="AC81" s="1">
        <v>30788197.46</v>
      </c>
      <c r="AD81" s="1"/>
      <c r="AE81" s="14">
        <f t="shared" si="6"/>
        <v>0.293467000019594</v>
      </c>
      <c r="AG81" s="29">
        <v>0</v>
      </c>
      <c r="AL81" s="33" t="s">
        <v>563</v>
      </c>
      <c r="AM81" s="33" t="s">
        <v>564</v>
      </c>
    </row>
    <row r="82" s="1" customFormat="1" ht="118" hidden="1" spans="1:39">
      <c r="A82" s="1">
        <v>81</v>
      </c>
      <c r="B82" s="5">
        <v>45819</v>
      </c>
      <c r="C82" s="1" t="s">
        <v>41</v>
      </c>
      <c r="D82" s="1" t="s">
        <v>528</v>
      </c>
      <c r="E82" s="1" t="s">
        <v>565</v>
      </c>
      <c r="F82" s="1">
        <v>12977089.97</v>
      </c>
      <c r="H82" s="1" t="s">
        <v>566</v>
      </c>
      <c r="I82" s="1" t="s">
        <v>567</v>
      </c>
      <c r="J82" s="1" t="s">
        <v>46</v>
      </c>
      <c r="K82" s="1" t="s">
        <v>47</v>
      </c>
      <c r="L82" s="1" t="s">
        <v>77</v>
      </c>
      <c r="M82" s="1">
        <v>653</v>
      </c>
      <c r="N82" s="1">
        <v>3</v>
      </c>
      <c r="O82" s="1" t="s">
        <v>568</v>
      </c>
      <c r="P82" s="1"/>
      <c r="Q82" s="1"/>
      <c r="R82" s="1">
        <v>9250913.33</v>
      </c>
      <c r="S82" s="1"/>
      <c r="T82" s="1"/>
      <c r="AA82" s="1" t="s">
        <v>568</v>
      </c>
      <c r="AC82" s="1">
        <v>9250913.33</v>
      </c>
      <c r="AD82" s="1"/>
      <c r="AE82" s="14">
        <f t="shared" si="6"/>
        <v>0.287134993177519</v>
      </c>
      <c r="AG82" s="14">
        <v>0.005</v>
      </c>
      <c r="AL82" s="33" t="s">
        <v>569</v>
      </c>
      <c r="AM82" s="33" t="s">
        <v>570</v>
      </c>
    </row>
    <row r="83" s="1" customFormat="1" ht="118" hidden="1" spans="1:39">
      <c r="A83" s="1">
        <v>82</v>
      </c>
      <c r="B83" s="5">
        <v>45819</v>
      </c>
      <c r="C83" s="1" t="s">
        <v>41</v>
      </c>
      <c r="D83" s="1" t="s">
        <v>528</v>
      </c>
      <c r="E83" s="1" t="s">
        <v>571</v>
      </c>
      <c r="F83" s="1">
        <v>8743350.23</v>
      </c>
      <c r="H83" s="1" t="s">
        <v>566</v>
      </c>
      <c r="I83" s="1" t="s">
        <v>567</v>
      </c>
      <c r="J83" s="1" t="s">
        <v>46</v>
      </c>
      <c r="K83" s="1" t="s">
        <v>47</v>
      </c>
      <c r="L83" s="1" t="s">
        <v>77</v>
      </c>
      <c r="M83" s="1">
        <v>635</v>
      </c>
      <c r="N83" s="1">
        <v>5</v>
      </c>
      <c r="O83" s="1" t="s">
        <v>572</v>
      </c>
      <c r="P83" s="1"/>
      <c r="Q83" s="1"/>
      <c r="R83" s="1">
        <v>6268728</v>
      </c>
      <c r="S83" s="1"/>
      <c r="T83" s="1"/>
      <c r="AA83" s="1" t="s">
        <v>572</v>
      </c>
      <c r="AC83" s="1">
        <v>6268728</v>
      </c>
      <c r="AD83" s="1"/>
      <c r="AE83" s="14">
        <f t="shared" si="6"/>
        <v>0.283029063791718</v>
      </c>
      <c r="AG83" s="14">
        <v>0.005</v>
      </c>
      <c r="AL83" s="33" t="s">
        <v>573</v>
      </c>
      <c r="AM83" s="33" t="s">
        <v>574</v>
      </c>
    </row>
    <row r="84" s="1" customFormat="1" ht="118" hidden="1" spans="1:39">
      <c r="A84" s="1">
        <v>83</v>
      </c>
      <c r="B84" s="5">
        <v>45819</v>
      </c>
      <c r="C84" s="1" t="s">
        <v>41</v>
      </c>
      <c r="D84" s="1" t="s">
        <v>528</v>
      </c>
      <c r="E84" s="1" t="s">
        <v>575</v>
      </c>
      <c r="F84" s="1">
        <v>11022881.95</v>
      </c>
      <c r="H84" s="1" t="s">
        <v>566</v>
      </c>
      <c r="I84" s="1" t="s">
        <v>567</v>
      </c>
      <c r="J84" s="1" t="s">
        <v>46</v>
      </c>
      <c r="K84" s="1" t="s">
        <v>47</v>
      </c>
      <c r="L84" s="1" t="s">
        <v>77</v>
      </c>
      <c r="M84" s="1">
        <v>652</v>
      </c>
      <c r="N84" s="1">
        <v>1</v>
      </c>
      <c r="O84" s="1" t="s">
        <v>576</v>
      </c>
      <c r="P84" s="1"/>
      <c r="Q84" s="1"/>
      <c r="R84" s="1">
        <v>7778950.66</v>
      </c>
      <c r="S84" s="1"/>
      <c r="T84" s="1"/>
      <c r="AA84" s="1" t="s">
        <v>576</v>
      </c>
      <c r="AC84" s="1">
        <v>7778950.66</v>
      </c>
      <c r="AD84" s="1"/>
      <c r="AE84" s="14">
        <f t="shared" si="6"/>
        <v>0.294290667786749</v>
      </c>
      <c r="AG84" s="14">
        <v>0.01</v>
      </c>
      <c r="AL84" s="32" t="s">
        <v>577</v>
      </c>
      <c r="AM84" s="33" t="s">
        <v>578</v>
      </c>
    </row>
    <row r="85" s="1" customFormat="1" ht="118" hidden="1" spans="1:39">
      <c r="A85" s="1">
        <v>84</v>
      </c>
      <c r="B85" s="5">
        <v>45819</v>
      </c>
      <c r="C85" s="1" t="s">
        <v>41</v>
      </c>
      <c r="D85" s="1" t="s">
        <v>528</v>
      </c>
      <c r="E85" s="1" t="s">
        <v>579</v>
      </c>
      <c r="F85" s="1">
        <v>7256003.25</v>
      </c>
      <c r="H85" s="1" t="s">
        <v>566</v>
      </c>
      <c r="I85" s="1" t="s">
        <v>567</v>
      </c>
      <c r="J85" s="1" t="s">
        <v>46</v>
      </c>
      <c r="K85" s="1" t="s">
        <v>47</v>
      </c>
      <c r="L85" s="1" t="s">
        <v>77</v>
      </c>
      <c r="M85" s="1">
        <v>632</v>
      </c>
      <c r="N85" s="1">
        <v>4</v>
      </c>
      <c r="O85" s="1" t="s">
        <v>580</v>
      </c>
      <c r="P85" s="1"/>
      <c r="Q85" s="1"/>
      <c r="R85" s="1">
        <v>5207294.18</v>
      </c>
      <c r="S85" s="1"/>
      <c r="T85" s="1"/>
      <c r="AA85" s="1" t="s">
        <v>580</v>
      </c>
      <c r="AC85" s="1">
        <v>5207294.18</v>
      </c>
      <c r="AE85" s="14">
        <f t="shared" si="6"/>
        <v>0.282346768518881</v>
      </c>
      <c r="AG85" s="14">
        <v>0.005</v>
      </c>
      <c r="AL85" s="33" t="s">
        <v>581</v>
      </c>
      <c r="AM85" s="33" t="s">
        <v>582</v>
      </c>
    </row>
    <row r="86" s="1" customFormat="1" ht="68" hidden="1" spans="1:39">
      <c r="A86" s="1">
        <v>85</v>
      </c>
      <c r="B86" s="5">
        <v>45813</v>
      </c>
      <c r="C86" s="1" t="s">
        <v>41</v>
      </c>
      <c r="D86" s="1" t="s">
        <v>528</v>
      </c>
      <c r="E86" s="1" t="s">
        <v>583</v>
      </c>
      <c r="F86" s="1">
        <v>6899565.44</v>
      </c>
      <c r="H86" s="1" t="s">
        <v>584</v>
      </c>
      <c r="I86" s="1" t="s">
        <v>585</v>
      </c>
      <c r="J86" s="1" t="s">
        <v>46</v>
      </c>
      <c r="K86" s="1" t="s">
        <v>47</v>
      </c>
      <c r="L86" s="1" t="s">
        <v>77</v>
      </c>
      <c r="M86" s="1">
        <v>141</v>
      </c>
      <c r="N86" s="1">
        <v>0</v>
      </c>
      <c r="O86" s="1" t="s">
        <v>586</v>
      </c>
      <c r="P86" s="1"/>
      <c r="Q86" s="1"/>
      <c r="R86" s="1">
        <v>4906584.57</v>
      </c>
      <c r="S86" s="1"/>
      <c r="T86" s="1"/>
      <c r="AA86" s="1" t="s">
        <v>586</v>
      </c>
      <c r="AC86" s="1">
        <v>4906584.57</v>
      </c>
      <c r="AE86" s="14">
        <f t="shared" si="6"/>
        <v>0.288855999313487</v>
      </c>
      <c r="AG86" s="14">
        <v>0.01</v>
      </c>
      <c r="AL86" s="33" t="s">
        <v>587</v>
      </c>
      <c r="AM86" s="33" t="s">
        <v>588</v>
      </c>
    </row>
    <row r="87" s="1" customFormat="1" ht="84" hidden="1" spans="1:39">
      <c r="A87" s="1">
        <v>86</v>
      </c>
      <c r="B87" s="5">
        <v>45811</v>
      </c>
      <c r="C87" s="1" t="s">
        <v>41</v>
      </c>
      <c r="D87" s="1" t="s">
        <v>528</v>
      </c>
      <c r="E87" s="1" t="s">
        <v>589</v>
      </c>
      <c r="F87" s="1">
        <v>4317519.74</v>
      </c>
      <c r="H87" s="34" t="s">
        <v>544</v>
      </c>
      <c r="I87" s="1" t="s">
        <v>590</v>
      </c>
      <c r="J87" s="1" t="s">
        <v>46</v>
      </c>
      <c r="K87" s="1" t="s">
        <v>47</v>
      </c>
      <c r="L87" s="1" t="s">
        <v>77</v>
      </c>
      <c r="M87" s="1">
        <v>534</v>
      </c>
      <c r="N87" s="1">
        <v>0</v>
      </c>
      <c r="O87" s="1" t="s">
        <v>591</v>
      </c>
      <c r="P87" s="1"/>
      <c r="Q87" s="1"/>
      <c r="R87" s="1">
        <v>3050425.25</v>
      </c>
      <c r="S87" s="1"/>
      <c r="T87" s="1"/>
      <c r="AA87" s="1" t="s">
        <v>592</v>
      </c>
      <c r="AC87" s="1">
        <v>3050425.25</v>
      </c>
      <c r="AE87" s="14">
        <f t="shared" ref="AE87:AE100" si="7">(1-AC87/F87)</f>
        <v>0.29347740515484</v>
      </c>
      <c r="AG87" s="14">
        <v>0.015</v>
      </c>
      <c r="AL87" s="33" t="s">
        <v>593</v>
      </c>
      <c r="AM87" s="33" t="s">
        <v>594</v>
      </c>
    </row>
    <row r="88" s="1" customFormat="1" ht="84" hidden="1" spans="1:39">
      <c r="A88" s="1">
        <v>87</v>
      </c>
      <c r="B88" s="5">
        <v>45811</v>
      </c>
      <c r="C88" s="1" t="s">
        <v>41</v>
      </c>
      <c r="D88" s="1" t="s">
        <v>528</v>
      </c>
      <c r="E88" s="1" t="s">
        <v>595</v>
      </c>
      <c r="F88" s="1">
        <v>2182558.54</v>
      </c>
      <c r="H88" s="34" t="s">
        <v>544</v>
      </c>
      <c r="I88" s="1" t="s">
        <v>590</v>
      </c>
      <c r="J88" s="1" t="s">
        <v>46</v>
      </c>
      <c r="K88" s="1" t="s">
        <v>47</v>
      </c>
      <c r="L88" s="1" t="s">
        <v>77</v>
      </c>
      <c r="M88" s="1">
        <v>273</v>
      </c>
      <c r="N88" s="1">
        <v>0</v>
      </c>
      <c r="O88" s="1" t="s">
        <v>596</v>
      </c>
      <c r="P88" s="1"/>
      <c r="Q88" s="1"/>
      <c r="R88" s="1">
        <v>1570419.86</v>
      </c>
      <c r="S88" s="1"/>
      <c r="T88" s="1"/>
      <c r="AA88" s="1" t="s">
        <v>597</v>
      </c>
      <c r="AC88" s="1">
        <v>1570419.86</v>
      </c>
      <c r="AE88" s="14">
        <f t="shared" si="7"/>
        <v>0.280468390094132</v>
      </c>
      <c r="AG88" s="29">
        <v>0</v>
      </c>
      <c r="AL88" s="33" t="s">
        <v>598</v>
      </c>
      <c r="AM88" s="33" t="s">
        <v>599</v>
      </c>
    </row>
    <row r="89" s="1" customFormat="1" ht="84" hidden="1" spans="1:39">
      <c r="A89" s="1">
        <v>88</v>
      </c>
      <c r="B89" s="5">
        <v>45811</v>
      </c>
      <c r="C89" s="1" t="s">
        <v>41</v>
      </c>
      <c r="D89" s="1" t="s">
        <v>528</v>
      </c>
      <c r="E89" s="1" t="s">
        <v>600</v>
      </c>
      <c r="F89" s="1">
        <v>1813811.59</v>
      </c>
      <c r="H89" s="34" t="s">
        <v>544</v>
      </c>
      <c r="I89" s="1" t="s">
        <v>590</v>
      </c>
      <c r="J89" s="1" t="s">
        <v>46</v>
      </c>
      <c r="K89" s="1" t="s">
        <v>47</v>
      </c>
      <c r="L89" s="1" t="s">
        <v>77</v>
      </c>
      <c r="M89" s="1">
        <v>256</v>
      </c>
      <c r="N89" s="1">
        <v>0</v>
      </c>
      <c r="O89" s="1" t="s">
        <v>601</v>
      </c>
      <c r="P89" s="1"/>
      <c r="Q89" s="1"/>
      <c r="R89" s="1">
        <v>1296313.52</v>
      </c>
      <c r="S89" s="1"/>
      <c r="T89" s="1"/>
      <c r="AA89" s="1" t="s">
        <v>601</v>
      </c>
      <c r="AC89" s="1">
        <v>1296313.52</v>
      </c>
      <c r="AE89" s="14">
        <f t="shared" si="7"/>
        <v>0.285309716209278</v>
      </c>
      <c r="AG89" s="29">
        <v>0.01</v>
      </c>
      <c r="AL89" s="33" t="s">
        <v>602</v>
      </c>
      <c r="AM89" s="33" t="s">
        <v>603</v>
      </c>
    </row>
    <row r="90" s="1" customFormat="1" ht="84" hidden="1" spans="1:39">
      <c r="A90" s="1">
        <v>89</v>
      </c>
      <c r="B90" s="5">
        <v>45811</v>
      </c>
      <c r="C90" s="1" t="s">
        <v>41</v>
      </c>
      <c r="D90" s="1" t="s">
        <v>528</v>
      </c>
      <c r="E90" s="1" t="s">
        <v>604</v>
      </c>
      <c r="F90" s="1">
        <v>1679942.25</v>
      </c>
      <c r="H90" s="34" t="s">
        <v>544</v>
      </c>
      <c r="I90" s="1" t="s">
        <v>590</v>
      </c>
      <c r="J90" s="1" t="s">
        <v>46</v>
      </c>
      <c r="K90" s="1" t="s">
        <v>47</v>
      </c>
      <c r="L90" s="1" t="s">
        <v>77</v>
      </c>
      <c r="M90" s="1">
        <v>258</v>
      </c>
      <c r="N90" s="1">
        <v>0</v>
      </c>
      <c r="O90" s="1" t="s">
        <v>605</v>
      </c>
      <c r="P90" s="1"/>
      <c r="Q90" s="1"/>
      <c r="R90" s="1">
        <v>1193883.82</v>
      </c>
      <c r="S90" s="1"/>
      <c r="T90" s="1"/>
      <c r="AA90" s="1" t="s">
        <v>606</v>
      </c>
      <c r="AC90" s="1">
        <v>1193883.82</v>
      </c>
      <c r="AE90" s="14">
        <f t="shared" si="7"/>
        <v>0.289330439781487</v>
      </c>
      <c r="AG90" s="14">
        <v>0.015</v>
      </c>
      <c r="AL90" s="33" t="s">
        <v>607</v>
      </c>
      <c r="AM90" s="33" t="s">
        <v>608</v>
      </c>
    </row>
    <row r="91" s="1" customFormat="1" ht="84" hidden="1" spans="1:39">
      <c r="A91" s="1">
        <v>90</v>
      </c>
      <c r="B91" s="5">
        <v>45811</v>
      </c>
      <c r="C91" s="1" t="s">
        <v>41</v>
      </c>
      <c r="D91" s="1" t="s">
        <v>528</v>
      </c>
      <c r="E91" s="1" t="s">
        <v>609</v>
      </c>
      <c r="F91" s="1">
        <v>2908665.04</v>
      </c>
      <c r="H91" s="34" t="s">
        <v>544</v>
      </c>
      <c r="I91" s="1" t="s">
        <v>590</v>
      </c>
      <c r="J91" s="1" t="s">
        <v>46</v>
      </c>
      <c r="K91" s="1" t="s">
        <v>47</v>
      </c>
      <c r="L91" s="1" t="s">
        <v>77</v>
      </c>
      <c r="M91" s="1">
        <v>417</v>
      </c>
      <c r="N91" s="1">
        <v>0</v>
      </c>
      <c r="O91" s="1" t="s">
        <v>610</v>
      </c>
      <c r="P91" s="1"/>
      <c r="Q91" s="1"/>
      <c r="R91" s="1">
        <v>2088891.36</v>
      </c>
      <c r="S91" s="1"/>
      <c r="T91" s="1"/>
      <c r="AA91" s="1" t="s">
        <v>611</v>
      </c>
      <c r="AC91" s="1">
        <v>2088891.36</v>
      </c>
      <c r="AE91" s="14">
        <f t="shared" si="7"/>
        <v>0.281838461536981</v>
      </c>
      <c r="AG91" s="14">
        <v>0.005</v>
      </c>
      <c r="AL91" s="33" t="s">
        <v>612</v>
      </c>
      <c r="AM91" s="33" t="s">
        <v>613</v>
      </c>
    </row>
    <row r="92" s="1" customFormat="1" ht="168" hidden="1" spans="1:41">
      <c r="A92" s="1">
        <v>91</v>
      </c>
      <c r="B92" s="5">
        <v>45807</v>
      </c>
      <c r="C92" s="1" t="s">
        <v>41</v>
      </c>
      <c r="D92" s="1" t="s">
        <v>528</v>
      </c>
      <c r="E92" s="1" t="s">
        <v>614</v>
      </c>
      <c r="F92" s="9">
        <v>307865180.7</v>
      </c>
      <c r="G92" s="9"/>
      <c r="H92" s="1" t="s">
        <v>544</v>
      </c>
      <c r="I92" s="1" t="s">
        <v>539</v>
      </c>
      <c r="J92" s="1" t="s">
        <v>46</v>
      </c>
      <c r="K92" s="1" t="s">
        <v>100</v>
      </c>
      <c r="L92" s="1" t="s">
        <v>161</v>
      </c>
      <c r="M92" s="1">
        <v>167</v>
      </c>
      <c r="N92" s="1">
        <v>8</v>
      </c>
      <c r="O92" s="1" t="s">
        <v>615</v>
      </c>
      <c r="P92" s="1" t="s">
        <v>616</v>
      </c>
      <c r="Q92" s="1" t="s">
        <v>617</v>
      </c>
      <c r="R92" s="9">
        <v>244276185.5</v>
      </c>
      <c r="S92" s="1">
        <v>243552585.03</v>
      </c>
      <c r="T92" s="1">
        <v>242838229.9</v>
      </c>
      <c r="AA92" s="1" t="s">
        <v>615</v>
      </c>
      <c r="AC92" s="9">
        <v>244276185.5</v>
      </c>
      <c r="AD92" s="9"/>
      <c r="AE92" s="14">
        <f t="shared" si="7"/>
        <v>0.206548187928938</v>
      </c>
      <c r="AG92" s="14">
        <v>-0.005</v>
      </c>
      <c r="AL92" s="33" t="s">
        <v>618</v>
      </c>
      <c r="AM92" s="33" t="s">
        <v>619</v>
      </c>
      <c r="AO92" s="33" t="s">
        <v>620</v>
      </c>
    </row>
    <row r="93" s="1" customFormat="1" ht="84" hidden="1" spans="1:39">
      <c r="A93" s="1">
        <v>92</v>
      </c>
      <c r="B93" s="5">
        <v>45800</v>
      </c>
      <c r="C93" s="1" t="s">
        <v>41</v>
      </c>
      <c r="D93" s="1" t="s">
        <v>528</v>
      </c>
      <c r="E93" s="1" t="s">
        <v>621</v>
      </c>
      <c r="F93" s="1">
        <v>2407405.04</v>
      </c>
      <c r="G93" s="1"/>
      <c r="H93" s="1" t="s">
        <v>544</v>
      </c>
      <c r="I93" s="1" t="s">
        <v>622</v>
      </c>
      <c r="J93" s="1" t="s">
        <v>46</v>
      </c>
      <c r="K93" s="1" t="s">
        <v>47</v>
      </c>
      <c r="L93" s="1" t="s">
        <v>77</v>
      </c>
      <c r="M93" s="1">
        <v>258</v>
      </c>
      <c r="N93" s="1">
        <v>1</v>
      </c>
      <c r="O93" s="1" t="s">
        <v>623</v>
      </c>
      <c r="P93" s="1"/>
      <c r="Q93" s="1"/>
      <c r="R93" s="1">
        <v>1741728.66</v>
      </c>
      <c r="S93" s="1"/>
      <c r="T93" s="1"/>
      <c r="AA93" s="1" t="s">
        <v>623</v>
      </c>
      <c r="AC93" s="1">
        <v>1741728.66</v>
      </c>
      <c r="AE93" s="14">
        <f t="shared" si="7"/>
        <v>0.276511998994569</v>
      </c>
      <c r="AG93" s="29">
        <v>0</v>
      </c>
      <c r="AL93" s="33" t="s">
        <v>624</v>
      </c>
      <c r="AM93" s="33" t="s">
        <v>625</v>
      </c>
    </row>
    <row r="94" s="1" customFormat="1" ht="84" hidden="1" spans="1:39">
      <c r="A94" s="1">
        <v>93</v>
      </c>
      <c r="B94" s="5">
        <v>45800</v>
      </c>
      <c r="C94" s="1" t="s">
        <v>41</v>
      </c>
      <c r="D94" s="1" t="s">
        <v>528</v>
      </c>
      <c r="E94" s="1" t="s">
        <v>626</v>
      </c>
      <c r="F94" s="1">
        <v>2878352.84</v>
      </c>
      <c r="G94" s="1"/>
      <c r="H94" s="1" t="s">
        <v>544</v>
      </c>
      <c r="I94" s="1" t="s">
        <v>622</v>
      </c>
      <c r="J94" s="1" t="s">
        <v>46</v>
      </c>
      <c r="K94" s="1" t="s">
        <v>47</v>
      </c>
      <c r="L94" s="1" t="s">
        <v>77</v>
      </c>
      <c r="M94" s="1">
        <v>272</v>
      </c>
      <c r="N94" s="1">
        <v>0</v>
      </c>
      <c r="O94" s="1" t="s">
        <v>627</v>
      </c>
      <c r="P94" s="1"/>
      <c r="Q94" s="1"/>
      <c r="R94" s="1">
        <v>2096936.58</v>
      </c>
      <c r="S94" s="1"/>
      <c r="T94" s="1"/>
      <c r="AA94" s="1" t="s">
        <v>628</v>
      </c>
      <c r="AC94" s="1">
        <v>2096936.58</v>
      </c>
      <c r="AE94" s="14">
        <f t="shared" si="7"/>
        <v>0.27148035818986</v>
      </c>
      <c r="AG94" s="14">
        <v>0.005</v>
      </c>
      <c r="AL94" s="33" t="s">
        <v>629</v>
      </c>
      <c r="AM94" s="32" t="s">
        <v>625</v>
      </c>
    </row>
    <row r="95" s="1" customFormat="1" ht="84" hidden="1" spans="1:39">
      <c r="A95" s="1">
        <v>94</v>
      </c>
      <c r="B95" s="5">
        <v>45800</v>
      </c>
      <c r="C95" s="1" t="s">
        <v>41</v>
      </c>
      <c r="D95" s="1" t="s">
        <v>528</v>
      </c>
      <c r="E95" s="1" t="s">
        <v>630</v>
      </c>
      <c r="F95" s="1">
        <v>2562130.74</v>
      </c>
      <c r="G95" s="1"/>
      <c r="H95" s="1" t="s">
        <v>544</v>
      </c>
      <c r="I95" s="1" t="s">
        <v>622</v>
      </c>
      <c r="J95" s="1" t="s">
        <v>46</v>
      </c>
      <c r="K95" s="1" t="s">
        <v>47</v>
      </c>
      <c r="L95" s="1" t="s">
        <v>77</v>
      </c>
      <c r="M95" s="1">
        <v>266</v>
      </c>
      <c r="N95" s="1">
        <v>0</v>
      </c>
      <c r="O95" s="1" t="s">
        <v>631</v>
      </c>
      <c r="P95" s="1"/>
      <c r="Q95" s="1"/>
      <c r="R95" s="1">
        <v>1844617.17</v>
      </c>
      <c r="S95" s="1"/>
      <c r="T95" s="1"/>
      <c r="AA95" s="1" t="s">
        <v>631</v>
      </c>
      <c r="AC95" s="1">
        <v>1844617.17</v>
      </c>
      <c r="AE95" s="14">
        <f t="shared" si="7"/>
        <v>0.28004565059783</v>
      </c>
      <c r="AG95" s="14">
        <v>0.005</v>
      </c>
      <c r="AL95" s="33" t="s">
        <v>632</v>
      </c>
      <c r="AM95" s="32" t="s">
        <v>625</v>
      </c>
    </row>
    <row r="96" s="1" customFormat="1" ht="84" hidden="1" spans="1:39">
      <c r="A96" s="1">
        <v>95</v>
      </c>
      <c r="B96" s="5">
        <v>45800</v>
      </c>
      <c r="C96" s="1" t="s">
        <v>41</v>
      </c>
      <c r="D96" s="1" t="s">
        <v>528</v>
      </c>
      <c r="E96" s="1" t="s">
        <v>633</v>
      </c>
      <c r="F96" s="1">
        <v>2399576.53</v>
      </c>
      <c r="G96" s="1"/>
      <c r="H96" s="1" t="s">
        <v>544</v>
      </c>
      <c r="I96" s="1" t="s">
        <v>622</v>
      </c>
      <c r="J96" s="1" t="s">
        <v>46</v>
      </c>
      <c r="K96" s="1" t="s">
        <v>47</v>
      </c>
      <c r="L96" s="1" t="s">
        <v>77</v>
      </c>
      <c r="M96" s="1">
        <v>256</v>
      </c>
      <c r="N96" s="1">
        <v>1</v>
      </c>
      <c r="O96" s="1" t="s">
        <v>87</v>
      </c>
      <c r="P96" s="1"/>
      <c r="Q96" s="1"/>
      <c r="R96" s="1">
        <v>1741375.81</v>
      </c>
      <c r="S96" s="1"/>
      <c r="T96" s="1"/>
      <c r="AA96" s="1" t="s">
        <v>634</v>
      </c>
      <c r="AC96" s="1">
        <v>1741375.81</v>
      </c>
      <c r="AE96" s="14">
        <f t="shared" si="7"/>
        <v>0.274298698862503</v>
      </c>
      <c r="AG96" s="29">
        <v>0</v>
      </c>
      <c r="AL96" s="33" t="s">
        <v>635</v>
      </c>
      <c r="AM96" s="32" t="s">
        <v>625</v>
      </c>
    </row>
    <row r="97" s="1" customFormat="1" ht="84" hidden="1" spans="1:39">
      <c r="A97" s="1">
        <v>96</v>
      </c>
      <c r="B97" s="5">
        <v>45800</v>
      </c>
      <c r="C97" s="1" t="s">
        <v>41</v>
      </c>
      <c r="D97" s="1" t="s">
        <v>528</v>
      </c>
      <c r="E97" s="1" t="s">
        <v>636</v>
      </c>
      <c r="F97" s="1">
        <v>2049648.49</v>
      </c>
      <c r="G97" s="1"/>
      <c r="H97" s="1" t="s">
        <v>544</v>
      </c>
      <c r="I97" s="1" t="s">
        <v>622</v>
      </c>
      <c r="J97" s="1" t="s">
        <v>46</v>
      </c>
      <c r="K97" s="1" t="s">
        <v>47</v>
      </c>
      <c r="L97" s="1" t="s">
        <v>77</v>
      </c>
      <c r="M97" s="1">
        <v>251</v>
      </c>
      <c r="N97" s="1">
        <v>1</v>
      </c>
      <c r="O97" s="1" t="s">
        <v>550</v>
      </c>
      <c r="P97" s="1"/>
      <c r="Q97" s="1"/>
      <c r="R97" s="1">
        <v>1463871.04</v>
      </c>
      <c r="S97" s="1"/>
      <c r="T97" s="1"/>
      <c r="AA97" s="1" t="s">
        <v>550</v>
      </c>
      <c r="AC97" s="1">
        <v>1463871.04</v>
      </c>
      <c r="AE97" s="14">
        <f t="shared" si="7"/>
        <v>0.285794102187737</v>
      </c>
      <c r="AG97" s="14">
        <v>0.015</v>
      </c>
      <c r="AL97" s="33" t="s">
        <v>637</v>
      </c>
      <c r="AM97" s="32" t="s">
        <v>625</v>
      </c>
    </row>
    <row r="98" s="1" customFormat="1" ht="84" hidden="1" spans="1:39">
      <c r="A98" s="1">
        <v>97</v>
      </c>
      <c r="B98" s="5">
        <v>45800</v>
      </c>
      <c r="C98" s="1" t="s">
        <v>41</v>
      </c>
      <c r="D98" s="1" t="s">
        <v>528</v>
      </c>
      <c r="E98" s="1" t="s">
        <v>638</v>
      </c>
      <c r="F98" s="1">
        <v>1783700.61</v>
      </c>
      <c r="G98" s="1"/>
      <c r="H98" s="1" t="s">
        <v>544</v>
      </c>
      <c r="I98" s="1" t="s">
        <v>622</v>
      </c>
      <c r="J98" s="1" t="s">
        <v>46</v>
      </c>
      <c r="K98" s="1" t="s">
        <v>47</v>
      </c>
      <c r="L98" s="1" t="s">
        <v>77</v>
      </c>
      <c r="M98" s="1">
        <v>246</v>
      </c>
      <c r="N98" s="1">
        <v>0</v>
      </c>
      <c r="O98" s="1" t="s">
        <v>639</v>
      </c>
      <c r="P98" s="1"/>
      <c r="Q98" s="1"/>
      <c r="R98" s="1">
        <v>1298337.28</v>
      </c>
      <c r="S98" s="1"/>
      <c r="T98" s="1"/>
      <c r="AA98" s="1" t="s">
        <v>639</v>
      </c>
      <c r="AC98" s="1">
        <v>1298337.28</v>
      </c>
      <c r="AE98" s="14">
        <f t="shared" si="7"/>
        <v>0.272110312279368</v>
      </c>
      <c r="AG98" s="14">
        <v>0.005</v>
      </c>
      <c r="AL98" s="33" t="s">
        <v>640</v>
      </c>
      <c r="AM98" s="32" t="s">
        <v>625</v>
      </c>
    </row>
    <row r="99" s="1" customFormat="1" ht="84" hidden="1" spans="1:39">
      <c r="A99" s="1">
        <v>98</v>
      </c>
      <c r="B99" s="5">
        <v>45800</v>
      </c>
      <c r="C99" s="1" t="s">
        <v>41</v>
      </c>
      <c r="D99" s="1" t="s">
        <v>528</v>
      </c>
      <c r="E99" s="1" t="s">
        <v>641</v>
      </c>
      <c r="F99" s="1">
        <v>1990611.65</v>
      </c>
      <c r="G99" s="1"/>
      <c r="H99" s="1" t="s">
        <v>544</v>
      </c>
      <c r="I99" s="1" t="s">
        <v>622</v>
      </c>
      <c r="J99" s="1" t="s">
        <v>46</v>
      </c>
      <c r="K99" s="1" t="s">
        <v>47</v>
      </c>
      <c r="L99" s="1" t="s">
        <v>77</v>
      </c>
      <c r="M99" s="1">
        <v>257</v>
      </c>
      <c r="N99" s="1">
        <v>0</v>
      </c>
      <c r="O99" s="1" t="s">
        <v>642</v>
      </c>
      <c r="P99" s="1"/>
      <c r="Q99" s="1"/>
      <c r="R99" s="1">
        <v>1423942.24</v>
      </c>
      <c r="S99" s="1"/>
      <c r="T99" s="1"/>
      <c r="AA99" s="1" t="s">
        <v>643</v>
      </c>
      <c r="AC99" s="1">
        <v>1423942.24</v>
      </c>
      <c r="AE99" s="14">
        <f t="shared" si="7"/>
        <v>0.284671000493743</v>
      </c>
      <c r="AG99" s="14">
        <v>0.015</v>
      </c>
      <c r="AL99" s="33" t="s">
        <v>644</v>
      </c>
      <c r="AM99" s="32" t="s">
        <v>625</v>
      </c>
    </row>
    <row r="100" s="1" customFormat="1" ht="101" hidden="1" spans="1:39">
      <c r="A100" s="1">
        <v>99</v>
      </c>
      <c r="B100" s="5">
        <v>45798</v>
      </c>
      <c r="C100" s="1" t="s">
        <v>41</v>
      </c>
      <c r="D100" s="1" t="s">
        <v>528</v>
      </c>
      <c r="E100" s="1" t="s">
        <v>645</v>
      </c>
      <c r="F100" s="1">
        <v>5563270.7</v>
      </c>
      <c r="G100" s="1"/>
      <c r="H100" s="1" t="s">
        <v>561</v>
      </c>
      <c r="I100" s="1" t="s">
        <v>539</v>
      </c>
      <c r="J100" s="1" t="s">
        <v>46</v>
      </c>
      <c r="K100" s="1" t="s">
        <v>47</v>
      </c>
      <c r="L100" s="1" t="s">
        <v>77</v>
      </c>
      <c r="M100" s="1">
        <v>419</v>
      </c>
      <c r="N100" s="1">
        <v>0</v>
      </c>
      <c r="O100" s="1" t="s">
        <v>148</v>
      </c>
      <c r="P100" s="1"/>
      <c r="Q100" s="1"/>
      <c r="R100" s="1">
        <v>4003395.14</v>
      </c>
      <c r="S100" s="1"/>
      <c r="T100" s="1"/>
      <c r="AA100" s="1" t="s">
        <v>148</v>
      </c>
      <c r="AC100" s="1">
        <v>4003395.14</v>
      </c>
      <c r="AE100" s="14">
        <f t="shared" si="7"/>
        <v>0.280388218391027</v>
      </c>
      <c r="AG100" s="14">
        <v>0.015</v>
      </c>
      <c r="AL100" s="33" t="s">
        <v>646</v>
      </c>
      <c r="AM100" s="33" t="s">
        <v>647</v>
      </c>
    </row>
    <row r="101" s="1" customFormat="1" ht="101" hidden="1" spans="1:39">
      <c r="A101" s="1">
        <v>100</v>
      </c>
      <c r="B101" s="5">
        <v>45798</v>
      </c>
      <c r="C101" s="1" t="s">
        <v>41</v>
      </c>
      <c r="D101" s="1" t="s">
        <v>528</v>
      </c>
      <c r="E101" s="1" t="s">
        <v>648</v>
      </c>
      <c r="F101" s="1">
        <v>10832719.5</v>
      </c>
      <c r="G101" s="1"/>
      <c r="H101" s="1" t="s">
        <v>561</v>
      </c>
      <c r="I101" s="1" t="s">
        <v>539</v>
      </c>
      <c r="J101" s="1" t="s">
        <v>46</v>
      </c>
      <c r="K101" s="1" t="s">
        <v>47</v>
      </c>
      <c r="L101" s="1" t="s">
        <v>77</v>
      </c>
      <c r="M101" s="1">
        <v>501</v>
      </c>
      <c r="N101" s="1">
        <v>0</v>
      </c>
      <c r="O101" s="1" t="s">
        <v>649</v>
      </c>
      <c r="P101" s="1"/>
      <c r="Q101" s="1"/>
      <c r="R101" s="1">
        <v>7835773.38</v>
      </c>
      <c r="S101" s="1"/>
      <c r="T101" s="1"/>
      <c r="AA101" s="1" t="s">
        <v>649</v>
      </c>
      <c r="AC101" s="1">
        <v>7835773.38</v>
      </c>
      <c r="AE101" s="14">
        <f t="shared" ref="AE101:AE116" si="8">(1-AC101/F101)</f>
        <v>0.276656856110785</v>
      </c>
      <c r="AG101" s="14">
        <v>0.015</v>
      </c>
      <c r="AL101" s="33" t="s">
        <v>650</v>
      </c>
      <c r="AM101" s="33" t="s">
        <v>647</v>
      </c>
    </row>
    <row r="102" s="1" customFormat="1" ht="84" hidden="1" spans="1:39">
      <c r="A102" s="1">
        <v>101</v>
      </c>
      <c r="B102" s="5">
        <v>45797</v>
      </c>
      <c r="C102" s="1" t="s">
        <v>41</v>
      </c>
      <c r="D102" s="1" t="s">
        <v>528</v>
      </c>
      <c r="E102" s="1" t="s">
        <v>651</v>
      </c>
      <c r="F102" s="1">
        <v>18094054.66</v>
      </c>
      <c r="G102" s="1"/>
      <c r="H102" s="1" t="s">
        <v>652</v>
      </c>
      <c r="I102" s="1" t="s">
        <v>653</v>
      </c>
      <c r="J102" s="1" t="s">
        <v>46</v>
      </c>
      <c r="K102" s="1" t="s">
        <v>47</v>
      </c>
      <c r="L102" s="1" t="s">
        <v>77</v>
      </c>
      <c r="M102" s="1">
        <v>887</v>
      </c>
      <c r="N102" s="1">
        <v>0</v>
      </c>
      <c r="O102" s="1" t="s">
        <v>654</v>
      </c>
      <c r="P102" s="1"/>
      <c r="Q102" s="1"/>
      <c r="R102" s="9">
        <v>12698186</v>
      </c>
      <c r="S102" s="1"/>
      <c r="T102" s="1"/>
      <c r="AA102" s="1" t="s">
        <v>654</v>
      </c>
      <c r="AC102" s="9">
        <v>12698186</v>
      </c>
      <c r="AD102" s="9"/>
      <c r="AE102" s="14">
        <f t="shared" si="8"/>
        <v>0.298212244927528</v>
      </c>
      <c r="AG102" s="14">
        <v>0.01</v>
      </c>
      <c r="AL102" s="33" t="s">
        <v>655</v>
      </c>
      <c r="AM102" s="33" t="s">
        <v>656</v>
      </c>
    </row>
    <row r="103" s="1" customFormat="1" ht="101" hidden="1" spans="1:39">
      <c r="A103" s="1">
        <v>102</v>
      </c>
      <c r="B103" s="5">
        <v>45793</v>
      </c>
      <c r="C103" s="1" t="s">
        <v>41</v>
      </c>
      <c r="D103" s="1" t="s">
        <v>528</v>
      </c>
      <c r="E103" s="1" t="s">
        <v>657</v>
      </c>
      <c r="F103" s="1">
        <v>30021882.91</v>
      </c>
      <c r="G103" s="1"/>
      <c r="H103" s="1" t="s">
        <v>658</v>
      </c>
      <c r="I103" s="1" t="s">
        <v>659</v>
      </c>
      <c r="J103" s="1" t="s">
        <v>46</v>
      </c>
      <c r="K103" s="1" t="s">
        <v>47</v>
      </c>
      <c r="L103" s="1" t="s">
        <v>77</v>
      </c>
      <c r="M103" s="1">
        <v>1155</v>
      </c>
      <c r="N103" s="1">
        <v>0</v>
      </c>
      <c r="O103" s="1" t="s">
        <v>660</v>
      </c>
      <c r="P103" s="1"/>
      <c r="Q103" s="1"/>
      <c r="R103" s="9">
        <v>22158920</v>
      </c>
      <c r="S103" s="1"/>
      <c r="T103" s="1"/>
      <c r="AA103" s="1" t="s">
        <v>660</v>
      </c>
      <c r="AC103" s="9">
        <v>22158920</v>
      </c>
      <c r="AD103" s="9"/>
      <c r="AE103" s="14">
        <f t="shared" si="8"/>
        <v>0.261907720230996</v>
      </c>
      <c r="AG103" s="14">
        <v>0.005</v>
      </c>
      <c r="AL103" s="33" t="s">
        <v>661</v>
      </c>
      <c r="AM103" s="33" t="s">
        <v>662</v>
      </c>
    </row>
    <row r="104" s="1" customFormat="1" ht="84" hidden="1" spans="1:39">
      <c r="A104" s="1">
        <v>103</v>
      </c>
      <c r="B104" s="5">
        <v>45793</v>
      </c>
      <c r="C104" s="1" t="s">
        <v>41</v>
      </c>
      <c r="D104" s="1" t="s">
        <v>528</v>
      </c>
      <c r="E104" s="1" t="s">
        <v>663</v>
      </c>
      <c r="F104" s="1">
        <v>2584735.01</v>
      </c>
      <c r="G104" s="1"/>
      <c r="H104" s="1" t="s">
        <v>664</v>
      </c>
      <c r="I104" s="1" t="s">
        <v>539</v>
      </c>
      <c r="J104" s="1" t="s">
        <v>46</v>
      </c>
      <c r="K104" s="1" t="s">
        <v>47</v>
      </c>
      <c r="L104" s="1" t="s">
        <v>77</v>
      </c>
      <c r="M104" s="1">
        <v>77</v>
      </c>
      <c r="N104" s="1">
        <v>1</v>
      </c>
      <c r="O104" s="1" t="s">
        <v>665</v>
      </c>
      <c r="P104" s="1"/>
      <c r="Q104" s="1"/>
      <c r="R104" s="1">
        <v>2163164.72</v>
      </c>
      <c r="S104" s="1"/>
      <c r="T104" s="1"/>
      <c r="AA104" s="1" t="s">
        <v>665</v>
      </c>
      <c r="AC104" s="1">
        <v>2163164.72</v>
      </c>
      <c r="AE104" s="14">
        <f t="shared" si="8"/>
        <v>0.163100003818186</v>
      </c>
      <c r="AG104" s="29">
        <v>0</v>
      </c>
      <c r="AL104" s="33" t="s">
        <v>666</v>
      </c>
      <c r="AM104" s="33" t="s">
        <v>667</v>
      </c>
    </row>
    <row r="105" s="1" customFormat="1" ht="84" hidden="1" spans="1:39">
      <c r="A105" s="1">
        <v>104</v>
      </c>
      <c r="B105" s="5">
        <v>45786</v>
      </c>
      <c r="C105" s="1" t="s">
        <v>41</v>
      </c>
      <c r="D105" s="1" t="s">
        <v>528</v>
      </c>
      <c r="E105" s="1" t="s">
        <v>668</v>
      </c>
      <c r="F105" s="1">
        <v>1536433.6</v>
      </c>
      <c r="G105" s="1"/>
      <c r="H105" s="1" t="s">
        <v>538</v>
      </c>
      <c r="I105" s="1" t="s">
        <v>539</v>
      </c>
      <c r="J105" s="1" t="s">
        <v>46</v>
      </c>
      <c r="K105" s="1" t="s">
        <v>47</v>
      </c>
      <c r="L105" s="1" t="s">
        <v>77</v>
      </c>
      <c r="M105" s="1">
        <v>90</v>
      </c>
      <c r="N105" s="1">
        <v>0</v>
      </c>
      <c r="O105" s="1" t="s">
        <v>669</v>
      </c>
      <c r="P105" s="1"/>
      <c r="Q105" s="1"/>
      <c r="R105" s="1">
        <v>966878.81</v>
      </c>
      <c r="S105" s="1"/>
      <c r="T105" s="1"/>
      <c r="AA105" s="1" t="s">
        <v>669</v>
      </c>
      <c r="AC105" s="1">
        <v>966878.81</v>
      </c>
      <c r="AE105" s="14">
        <f t="shared" si="8"/>
        <v>0.370699254429218</v>
      </c>
      <c r="AG105" s="14">
        <v>0.015</v>
      </c>
      <c r="AL105" s="33" t="s">
        <v>670</v>
      </c>
      <c r="AM105" s="33" t="s">
        <v>671</v>
      </c>
    </row>
    <row r="106" s="1" customFormat="1" ht="84" hidden="1" spans="1:39">
      <c r="A106" s="1">
        <v>105</v>
      </c>
      <c r="B106" s="5">
        <v>45786</v>
      </c>
      <c r="C106" s="1" t="s">
        <v>41</v>
      </c>
      <c r="D106" s="1" t="s">
        <v>528</v>
      </c>
      <c r="E106" s="1" t="s">
        <v>672</v>
      </c>
      <c r="F106" s="1">
        <v>36917308.26</v>
      </c>
      <c r="G106" s="1"/>
      <c r="H106" s="1" t="s">
        <v>673</v>
      </c>
      <c r="I106" s="1" t="s">
        <v>674</v>
      </c>
      <c r="J106" s="1" t="s">
        <v>46</v>
      </c>
      <c r="K106" s="1" t="s">
        <v>47</v>
      </c>
      <c r="L106" s="1" t="s">
        <v>77</v>
      </c>
      <c r="M106" s="1">
        <v>763</v>
      </c>
      <c r="N106" s="1">
        <v>1</v>
      </c>
      <c r="O106" s="1" t="s">
        <v>675</v>
      </c>
      <c r="P106" s="1"/>
      <c r="Q106" s="1"/>
      <c r="R106" s="1">
        <v>27464077.72</v>
      </c>
      <c r="S106" s="1"/>
      <c r="T106" s="1"/>
      <c r="AA106" s="1" t="s">
        <v>675</v>
      </c>
      <c r="AC106" s="1">
        <v>27464077.72</v>
      </c>
      <c r="AE106" s="14">
        <f t="shared" si="8"/>
        <v>0.256065000010919</v>
      </c>
      <c r="AG106" s="14">
        <v>0.015</v>
      </c>
      <c r="AL106" s="33" t="s">
        <v>676</v>
      </c>
      <c r="AM106" s="33" t="s">
        <v>677</v>
      </c>
    </row>
    <row r="107" ht="118" hidden="1" spans="1:41">
      <c r="A107" s="1">
        <v>106</v>
      </c>
      <c r="B107" s="17">
        <v>45784</v>
      </c>
      <c r="C107" s="1" t="s">
        <v>41</v>
      </c>
      <c r="D107" s="1" t="s">
        <v>528</v>
      </c>
      <c r="E107" s="18" t="s">
        <v>678</v>
      </c>
      <c r="F107" s="18">
        <v>9104121.13</v>
      </c>
      <c r="H107" s="1" t="s">
        <v>679</v>
      </c>
      <c r="I107" s="1" t="s">
        <v>539</v>
      </c>
      <c r="J107" s="1" t="s">
        <v>46</v>
      </c>
      <c r="K107" s="1" t="s">
        <v>47</v>
      </c>
      <c r="L107" s="1" t="s">
        <v>77</v>
      </c>
      <c r="M107" s="18">
        <v>243</v>
      </c>
      <c r="N107" s="18">
        <v>0</v>
      </c>
      <c r="O107" s="1" t="s">
        <v>680</v>
      </c>
      <c r="R107" s="20">
        <v>7477445</v>
      </c>
      <c r="S107" s="1"/>
      <c r="T107" s="1"/>
      <c r="AA107" s="1" t="s">
        <v>680</v>
      </c>
      <c r="AC107" s="20">
        <v>7477445</v>
      </c>
      <c r="AD107" s="20"/>
      <c r="AE107" s="14">
        <f t="shared" si="8"/>
        <v>0.178674702013768</v>
      </c>
      <c r="AG107" s="14">
        <v>0.015</v>
      </c>
      <c r="AL107" s="33" t="s">
        <v>681</v>
      </c>
      <c r="AM107" s="33" t="s">
        <v>682</v>
      </c>
      <c r="AO107" s="18"/>
    </row>
    <row r="108" ht="152" hidden="1" spans="1:41">
      <c r="A108" s="1">
        <v>107</v>
      </c>
      <c r="B108" s="17">
        <v>45754</v>
      </c>
      <c r="C108" s="1" t="s">
        <v>41</v>
      </c>
      <c r="D108" s="1" t="s">
        <v>528</v>
      </c>
      <c r="E108" s="1" t="s">
        <v>683</v>
      </c>
      <c r="F108" s="18">
        <v>252730120.01</v>
      </c>
      <c r="H108" s="1" t="s">
        <v>684</v>
      </c>
      <c r="I108" s="1" t="s">
        <v>539</v>
      </c>
      <c r="J108" s="1" t="s">
        <v>46</v>
      </c>
      <c r="K108" s="1" t="s">
        <v>100</v>
      </c>
      <c r="L108" s="1" t="s">
        <v>161</v>
      </c>
      <c r="M108" s="18">
        <v>91</v>
      </c>
      <c r="N108" s="18">
        <v>2</v>
      </c>
      <c r="O108" s="1" t="s">
        <v>685</v>
      </c>
      <c r="P108" s="1" t="s">
        <v>686</v>
      </c>
      <c r="Q108" s="1" t="s">
        <v>687</v>
      </c>
      <c r="R108" s="18">
        <v>201729181.79</v>
      </c>
      <c r="S108" s="1">
        <v>202537918.18</v>
      </c>
      <c r="T108" s="1">
        <v>203801568.78</v>
      </c>
      <c r="AA108" s="1" t="s">
        <v>685</v>
      </c>
      <c r="AC108" s="18">
        <v>201729181.79</v>
      </c>
      <c r="AE108" s="14">
        <f t="shared" si="8"/>
        <v>0.201800000007842</v>
      </c>
      <c r="AG108" s="14">
        <v>0.015</v>
      </c>
      <c r="AL108" s="32" t="s">
        <v>688</v>
      </c>
      <c r="AM108" s="33" t="s">
        <v>689</v>
      </c>
      <c r="AO108" s="32" t="s">
        <v>690</v>
      </c>
    </row>
    <row r="109" ht="269" hidden="1" spans="1:41">
      <c r="A109" s="1">
        <v>108</v>
      </c>
      <c r="B109" s="17">
        <v>45748</v>
      </c>
      <c r="C109" s="1" t="s">
        <v>41</v>
      </c>
      <c r="D109" s="1" t="s">
        <v>528</v>
      </c>
      <c r="E109" s="1" t="s">
        <v>691</v>
      </c>
      <c r="F109" s="18">
        <v>38000000</v>
      </c>
      <c r="H109" s="1" t="s">
        <v>692</v>
      </c>
      <c r="I109" s="1" t="s">
        <v>402</v>
      </c>
      <c r="J109" s="1" t="s">
        <v>99</v>
      </c>
      <c r="K109" s="1" t="s">
        <v>100</v>
      </c>
      <c r="L109" s="1" t="s">
        <v>101</v>
      </c>
      <c r="M109" s="18">
        <v>18</v>
      </c>
      <c r="N109" s="18">
        <v>0</v>
      </c>
      <c r="O109" s="1" t="s">
        <v>693</v>
      </c>
      <c r="S109" s="1"/>
      <c r="T109" s="1"/>
      <c r="X109" s="16">
        <v>0.1711</v>
      </c>
      <c r="Y109" s="16"/>
      <c r="AA109" s="1" t="s">
        <v>693</v>
      </c>
      <c r="AD109" s="16">
        <v>0.1711</v>
      </c>
      <c r="AE109" s="16" t="s">
        <v>694</v>
      </c>
      <c r="AG109" s="14">
        <v>-0.005</v>
      </c>
      <c r="AL109" s="33" t="s">
        <v>695</v>
      </c>
      <c r="AM109" s="33" t="s">
        <v>696</v>
      </c>
      <c r="AO109" s="18"/>
    </row>
    <row r="110" ht="84" hidden="1" spans="1:41">
      <c r="A110" s="1">
        <v>109</v>
      </c>
      <c r="B110" s="17">
        <v>45747</v>
      </c>
      <c r="C110" s="1" t="s">
        <v>41</v>
      </c>
      <c r="D110" s="1" t="s">
        <v>528</v>
      </c>
      <c r="E110" s="1" t="s">
        <v>697</v>
      </c>
      <c r="F110" s="18">
        <v>7990226.13</v>
      </c>
      <c r="H110" s="1" t="s">
        <v>698</v>
      </c>
      <c r="I110" s="1" t="s">
        <v>699</v>
      </c>
      <c r="J110" s="1" t="s">
        <v>46</v>
      </c>
      <c r="K110" s="1" t="s">
        <v>47</v>
      </c>
      <c r="L110" s="1" t="s">
        <v>77</v>
      </c>
      <c r="M110" s="18">
        <v>416</v>
      </c>
      <c r="N110" s="18">
        <v>0</v>
      </c>
      <c r="O110" s="1" t="s">
        <v>700</v>
      </c>
      <c r="R110" s="18">
        <v>5605227</v>
      </c>
      <c r="S110" s="1"/>
      <c r="T110" s="1"/>
      <c r="AA110" s="1" t="s">
        <v>700</v>
      </c>
      <c r="AC110" s="18">
        <v>5605227</v>
      </c>
      <c r="AE110" s="14">
        <f t="shared" si="8"/>
        <v>0.298489566026838</v>
      </c>
      <c r="AG110" s="29">
        <v>0</v>
      </c>
      <c r="AL110" s="33" t="s">
        <v>701</v>
      </c>
      <c r="AM110" s="33" t="s">
        <v>702</v>
      </c>
      <c r="AO110" s="18"/>
    </row>
    <row r="111" ht="202" hidden="1" spans="1:41">
      <c r="A111" s="1">
        <v>110</v>
      </c>
      <c r="B111" s="17">
        <v>45743</v>
      </c>
      <c r="C111" s="1" t="s">
        <v>41</v>
      </c>
      <c r="D111" s="1" t="s">
        <v>528</v>
      </c>
      <c r="E111" s="1" t="s">
        <v>703</v>
      </c>
      <c r="F111" s="18">
        <v>12363672.01</v>
      </c>
      <c r="H111" s="1" t="s">
        <v>704</v>
      </c>
      <c r="I111" s="1" t="s">
        <v>539</v>
      </c>
      <c r="J111" s="1" t="s">
        <v>46</v>
      </c>
      <c r="K111" s="1" t="s">
        <v>47</v>
      </c>
      <c r="L111" s="1" t="s">
        <v>77</v>
      </c>
      <c r="M111" s="18">
        <v>398</v>
      </c>
      <c r="N111" s="18">
        <v>0</v>
      </c>
      <c r="O111" s="1" t="s">
        <v>705</v>
      </c>
      <c r="P111" s="1" t="s">
        <v>706</v>
      </c>
      <c r="R111" s="18">
        <v>8610192.21</v>
      </c>
      <c r="S111" s="1">
        <v>8610349</v>
      </c>
      <c r="T111" s="1"/>
      <c r="AA111" s="1" t="s">
        <v>705</v>
      </c>
      <c r="AC111" s="18">
        <v>8610192.21</v>
      </c>
      <c r="AE111" s="14">
        <f t="shared" si="8"/>
        <v>0.303589402643819</v>
      </c>
      <c r="AG111" s="14">
        <v>0.005</v>
      </c>
      <c r="AL111" s="33" t="s">
        <v>707</v>
      </c>
      <c r="AM111" s="33" t="s">
        <v>708</v>
      </c>
      <c r="AO111" s="18"/>
    </row>
    <row r="112" ht="84" hidden="1" spans="1:41">
      <c r="A112" s="1">
        <v>111</v>
      </c>
      <c r="B112" s="17">
        <v>45719</v>
      </c>
      <c r="C112" s="1" t="s">
        <v>41</v>
      </c>
      <c r="D112" s="1" t="s">
        <v>528</v>
      </c>
      <c r="E112" s="1" t="s">
        <v>709</v>
      </c>
      <c r="F112" s="18">
        <v>5397437.55</v>
      </c>
      <c r="H112" s="1" t="s">
        <v>584</v>
      </c>
      <c r="I112" s="1" t="s">
        <v>710</v>
      </c>
      <c r="J112" s="1" t="s">
        <v>46</v>
      </c>
      <c r="K112" s="1" t="s">
        <v>47</v>
      </c>
      <c r="L112" s="1" t="s">
        <v>77</v>
      </c>
      <c r="M112" s="18">
        <v>287</v>
      </c>
      <c r="N112" s="18">
        <v>0</v>
      </c>
      <c r="O112" s="1" t="s">
        <v>711</v>
      </c>
      <c r="R112" s="18">
        <v>3801381.13</v>
      </c>
      <c r="S112" s="1"/>
      <c r="T112" s="1"/>
      <c r="AA112" s="1" t="s">
        <v>711</v>
      </c>
      <c r="AC112" s="18">
        <v>3801381.13</v>
      </c>
      <c r="AE112" s="14">
        <f t="shared" si="8"/>
        <v>0.295706324568776</v>
      </c>
      <c r="AG112" s="29">
        <v>0.01</v>
      </c>
      <c r="AL112" s="33" t="s">
        <v>712</v>
      </c>
      <c r="AM112" s="33" t="s">
        <v>713</v>
      </c>
      <c r="AO112" s="18"/>
    </row>
    <row r="113" ht="152" hidden="1" spans="1:41">
      <c r="A113" s="1">
        <v>112</v>
      </c>
      <c r="B113" s="17">
        <v>45684</v>
      </c>
      <c r="C113" s="1" t="s">
        <v>41</v>
      </c>
      <c r="D113" s="1" t="s">
        <v>528</v>
      </c>
      <c r="E113" s="1" t="s">
        <v>714</v>
      </c>
      <c r="F113" s="18">
        <v>90454919.67</v>
      </c>
      <c r="H113" s="1" t="s">
        <v>715</v>
      </c>
      <c r="I113" s="1" t="s">
        <v>539</v>
      </c>
      <c r="J113" s="1" t="s">
        <v>46</v>
      </c>
      <c r="K113" s="1" t="s">
        <v>47</v>
      </c>
      <c r="L113" s="1" t="s">
        <v>77</v>
      </c>
      <c r="M113" s="18">
        <v>61</v>
      </c>
      <c r="N113" s="18">
        <v>1</v>
      </c>
      <c r="O113" s="1" t="s">
        <v>716</v>
      </c>
      <c r="R113" s="18">
        <v>73370107.13</v>
      </c>
      <c r="S113" s="1"/>
      <c r="T113" s="1"/>
      <c r="AA113" s="1" t="s">
        <v>716</v>
      </c>
      <c r="AC113" s="18">
        <v>73370107.13</v>
      </c>
      <c r="AE113" s="14">
        <f t="shared" si="8"/>
        <v>0.188876543170115</v>
      </c>
      <c r="AG113" s="29">
        <v>0</v>
      </c>
      <c r="AL113" s="33" t="s">
        <v>717</v>
      </c>
      <c r="AM113" s="33" t="s">
        <v>718</v>
      </c>
      <c r="AO113" s="18"/>
    </row>
    <row r="114" ht="84" hidden="1" spans="1:41">
      <c r="A114" s="1">
        <v>113</v>
      </c>
      <c r="B114" s="17">
        <v>45683</v>
      </c>
      <c r="C114" s="1" t="s">
        <v>41</v>
      </c>
      <c r="D114" s="1" t="s">
        <v>528</v>
      </c>
      <c r="E114" s="1" t="s">
        <v>719</v>
      </c>
      <c r="F114" s="18">
        <v>3094792.29</v>
      </c>
      <c r="H114" s="1" t="s">
        <v>538</v>
      </c>
      <c r="I114" s="1" t="s">
        <v>539</v>
      </c>
      <c r="J114" s="1" t="s">
        <v>46</v>
      </c>
      <c r="K114" s="1" t="s">
        <v>47</v>
      </c>
      <c r="L114" s="1" t="s">
        <v>77</v>
      </c>
      <c r="M114" s="18">
        <v>61</v>
      </c>
      <c r="N114" s="18">
        <v>1</v>
      </c>
      <c r="O114" s="1" t="s">
        <v>720</v>
      </c>
      <c r="R114" s="18">
        <v>2198580.68</v>
      </c>
      <c r="S114" s="1"/>
      <c r="T114" s="1"/>
      <c r="AA114" s="1" t="s">
        <v>720</v>
      </c>
      <c r="AC114" s="18">
        <v>2198580.68</v>
      </c>
      <c r="AE114" s="14">
        <f t="shared" si="8"/>
        <v>0.289586998421791</v>
      </c>
      <c r="AG114" s="29">
        <v>0</v>
      </c>
      <c r="AL114" s="33" t="s">
        <v>721</v>
      </c>
      <c r="AM114" s="33" t="s">
        <v>722</v>
      </c>
      <c r="AO114" s="18"/>
    </row>
    <row r="115" ht="101" hidden="1" spans="1:41">
      <c r="A115" s="1">
        <v>115</v>
      </c>
      <c r="B115" s="17">
        <v>45828</v>
      </c>
      <c r="C115" s="1" t="s">
        <v>41</v>
      </c>
      <c r="D115" s="1" t="s">
        <v>723</v>
      </c>
      <c r="E115" s="1" t="s">
        <v>724</v>
      </c>
      <c r="F115" s="18">
        <v>5213019.59</v>
      </c>
      <c r="H115" s="1" t="s">
        <v>725</v>
      </c>
      <c r="I115" s="1" t="s">
        <v>726</v>
      </c>
      <c r="J115" s="1" t="s">
        <v>46</v>
      </c>
      <c r="K115" s="1" t="s">
        <v>47</v>
      </c>
      <c r="L115" s="1" t="s">
        <v>77</v>
      </c>
      <c r="M115" s="18">
        <v>414</v>
      </c>
      <c r="N115" s="18">
        <v>1</v>
      </c>
      <c r="O115" s="1" t="s">
        <v>727</v>
      </c>
      <c r="P115" s="1" t="s">
        <v>728</v>
      </c>
      <c r="Q115" s="1" t="s">
        <v>729</v>
      </c>
      <c r="R115" s="18">
        <v>3560139</v>
      </c>
      <c r="S115" s="1">
        <v>3560223.66</v>
      </c>
      <c r="T115" s="1">
        <v>3560343.63</v>
      </c>
      <c r="AA115" s="1" t="s">
        <v>727</v>
      </c>
      <c r="AC115" s="18">
        <v>3560139</v>
      </c>
      <c r="AE115" s="14">
        <f t="shared" si="8"/>
        <v>0.317067787961257</v>
      </c>
      <c r="AG115" s="29">
        <v>0.01</v>
      </c>
      <c r="AL115" s="33" t="s">
        <v>730</v>
      </c>
      <c r="AM115" s="33" t="s">
        <v>731</v>
      </c>
      <c r="AO115" s="18"/>
    </row>
    <row r="116" ht="84" hidden="1" spans="1:41">
      <c r="A116" s="1">
        <v>116</v>
      </c>
      <c r="B116" s="17">
        <v>45827</v>
      </c>
      <c r="C116" s="1" t="s">
        <v>41</v>
      </c>
      <c r="D116" s="1" t="s">
        <v>723</v>
      </c>
      <c r="E116" s="1" t="s">
        <v>732</v>
      </c>
      <c r="F116" s="18">
        <v>16095902.9</v>
      </c>
      <c r="H116" s="1" t="s">
        <v>725</v>
      </c>
      <c r="I116" s="1" t="s">
        <v>733</v>
      </c>
      <c r="J116" s="1" t="s">
        <v>46</v>
      </c>
      <c r="K116" s="1" t="s">
        <v>47</v>
      </c>
      <c r="L116" s="1" t="s">
        <v>77</v>
      </c>
      <c r="M116" s="18">
        <v>225</v>
      </c>
      <c r="N116" s="18">
        <v>0</v>
      </c>
      <c r="O116" s="1" t="s">
        <v>734</v>
      </c>
      <c r="P116" s="1" t="s">
        <v>735</v>
      </c>
      <c r="Q116" s="1" t="s">
        <v>294</v>
      </c>
      <c r="R116" s="18">
        <v>11648604.92</v>
      </c>
      <c r="S116" s="1">
        <v>11650214.52</v>
      </c>
      <c r="T116" s="1">
        <v>11650359.16</v>
      </c>
      <c r="AA116" s="1" t="s">
        <v>734</v>
      </c>
      <c r="AC116" s="18">
        <v>11648604.92</v>
      </c>
      <c r="AE116" s="14">
        <f t="shared" si="8"/>
        <v>0.276300000542374</v>
      </c>
      <c r="AG116" s="14">
        <v>0.015</v>
      </c>
      <c r="AL116" s="33" t="s">
        <v>736</v>
      </c>
      <c r="AM116" s="33" t="s">
        <v>737</v>
      </c>
      <c r="AO116" s="18"/>
    </row>
    <row r="117" ht="84" hidden="1" spans="1:41">
      <c r="A117" s="1">
        <v>117</v>
      </c>
      <c r="B117" s="17">
        <v>45826</v>
      </c>
      <c r="C117" s="1" t="s">
        <v>41</v>
      </c>
      <c r="D117" s="1" t="s">
        <v>723</v>
      </c>
      <c r="E117" s="1" t="s">
        <v>738</v>
      </c>
      <c r="F117" s="18">
        <v>8059995.68</v>
      </c>
      <c r="H117" s="1" t="s">
        <v>725</v>
      </c>
      <c r="I117" s="1" t="s">
        <v>733</v>
      </c>
      <c r="J117" s="1" t="s">
        <v>46</v>
      </c>
      <c r="K117" s="1" t="s">
        <v>47</v>
      </c>
      <c r="L117" s="1" t="s">
        <v>77</v>
      </c>
      <c r="M117" s="18">
        <v>608</v>
      </c>
      <c r="N117" s="18">
        <v>0</v>
      </c>
      <c r="O117" s="1" t="s">
        <v>739</v>
      </c>
      <c r="P117" s="1" t="s">
        <v>740</v>
      </c>
      <c r="Q117" s="1" t="s">
        <v>203</v>
      </c>
      <c r="R117" s="18">
        <v>5391292.02</v>
      </c>
      <c r="S117" s="1">
        <v>5391429.88</v>
      </c>
      <c r="T117" s="1">
        <v>5392034.01</v>
      </c>
      <c r="AA117" s="1" t="s">
        <v>739</v>
      </c>
      <c r="AC117" s="26">
        <v>5391292.02</v>
      </c>
      <c r="AD117" s="26"/>
      <c r="AE117" s="14">
        <f t="shared" ref="AE117:AE132" si="9">(1-AC117/F117)</f>
        <v>0.331104849922202</v>
      </c>
      <c r="AG117" s="14">
        <v>0.005</v>
      </c>
      <c r="AL117" s="33" t="s">
        <v>741</v>
      </c>
      <c r="AM117" s="33" t="s">
        <v>742</v>
      </c>
      <c r="AO117" s="18"/>
    </row>
    <row r="118" ht="101" hidden="1" spans="1:41">
      <c r="A118" s="1">
        <v>118</v>
      </c>
      <c r="B118" s="17">
        <v>45799</v>
      </c>
      <c r="C118" s="1" t="s">
        <v>41</v>
      </c>
      <c r="D118" s="1" t="s">
        <v>723</v>
      </c>
      <c r="E118" s="1" t="s">
        <v>743</v>
      </c>
      <c r="F118" s="18">
        <v>7528782.6</v>
      </c>
      <c r="H118" s="1" t="s">
        <v>744</v>
      </c>
      <c r="I118" s="1" t="s">
        <v>745</v>
      </c>
      <c r="J118" s="1" t="s">
        <v>46</v>
      </c>
      <c r="K118" s="1" t="s">
        <v>47</v>
      </c>
      <c r="L118" s="1" t="s">
        <v>77</v>
      </c>
      <c r="M118" s="18">
        <v>562</v>
      </c>
      <c r="N118" s="18">
        <v>0</v>
      </c>
      <c r="O118" s="1" t="s">
        <v>746</v>
      </c>
      <c r="P118" s="1" t="s">
        <v>747</v>
      </c>
      <c r="Q118" s="1" t="s">
        <v>748</v>
      </c>
      <c r="R118" s="18">
        <v>5428609.29</v>
      </c>
      <c r="S118" s="1">
        <v>5428680.02</v>
      </c>
      <c r="T118" s="1">
        <v>5428893.04</v>
      </c>
      <c r="AA118" s="1" t="s">
        <v>746</v>
      </c>
      <c r="AC118" s="18">
        <v>5428609.29</v>
      </c>
      <c r="AE118" s="14">
        <f t="shared" si="9"/>
        <v>0.27895257727325</v>
      </c>
      <c r="AG118" s="29">
        <v>0</v>
      </c>
      <c r="AL118" s="33" t="s">
        <v>749</v>
      </c>
      <c r="AM118" s="33" t="s">
        <v>750</v>
      </c>
      <c r="AO118" s="18"/>
    </row>
    <row r="119" ht="68" hidden="1" spans="1:41">
      <c r="A119" s="1">
        <v>119</v>
      </c>
      <c r="B119" s="17">
        <v>45786</v>
      </c>
      <c r="C119" s="1" t="s">
        <v>41</v>
      </c>
      <c r="D119" s="1" t="s">
        <v>723</v>
      </c>
      <c r="E119" s="1" t="s">
        <v>751</v>
      </c>
      <c r="F119" s="18">
        <v>1076926.35</v>
      </c>
      <c r="H119" s="1" t="s">
        <v>752</v>
      </c>
      <c r="I119" s="1" t="s">
        <v>753</v>
      </c>
      <c r="J119" s="1" t="s">
        <v>46</v>
      </c>
      <c r="K119" s="1" t="s">
        <v>47</v>
      </c>
      <c r="L119" s="1" t="s">
        <v>48</v>
      </c>
      <c r="M119" s="18">
        <v>23</v>
      </c>
      <c r="N119" s="18">
        <v>3</v>
      </c>
      <c r="O119" s="1" t="s">
        <v>754</v>
      </c>
      <c r="P119" s="1" t="s">
        <v>755</v>
      </c>
      <c r="Q119" s="1" t="s">
        <v>756</v>
      </c>
      <c r="R119" s="18">
        <v>718989.57</v>
      </c>
      <c r="S119" s="1">
        <v>741800.48</v>
      </c>
      <c r="T119" s="1">
        <v>786748.54</v>
      </c>
      <c r="AA119" s="1" t="s">
        <v>754</v>
      </c>
      <c r="AC119" s="18">
        <v>718989.57</v>
      </c>
      <c r="AE119" s="14">
        <f t="shared" si="9"/>
        <v>0.332368856978938</v>
      </c>
      <c r="AG119" s="1"/>
      <c r="AL119" s="33" t="s">
        <v>757</v>
      </c>
      <c r="AM119" s="33" t="s">
        <v>758</v>
      </c>
      <c r="AO119" s="18"/>
    </row>
    <row r="120" ht="68" hidden="1" spans="1:41">
      <c r="A120" s="1">
        <v>120</v>
      </c>
      <c r="B120" s="17">
        <v>45784</v>
      </c>
      <c r="C120" s="1" t="s">
        <v>41</v>
      </c>
      <c r="D120" s="1" t="s">
        <v>723</v>
      </c>
      <c r="E120" s="1" t="s">
        <v>759</v>
      </c>
      <c r="F120" s="18">
        <v>1048160.15</v>
      </c>
      <c r="H120" s="1" t="s">
        <v>760</v>
      </c>
      <c r="I120" s="1" t="s">
        <v>753</v>
      </c>
      <c r="J120" s="1" t="s">
        <v>46</v>
      </c>
      <c r="K120" s="1" t="s">
        <v>47</v>
      </c>
      <c r="L120" s="1" t="s">
        <v>48</v>
      </c>
      <c r="M120" s="18">
        <v>44</v>
      </c>
      <c r="N120" s="18">
        <v>4</v>
      </c>
      <c r="O120" s="27" t="s">
        <v>755</v>
      </c>
      <c r="P120" s="1" t="s">
        <v>761</v>
      </c>
      <c r="Q120" s="1" t="s">
        <v>762</v>
      </c>
      <c r="R120" s="18">
        <v>759800.17</v>
      </c>
      <c r="S120" s="1">
        <v>762679.06</v>
      </c>
      <c r="T120" s="1">
        <v>774590.35</v>
      </c>
      <c r="AA120" s="1" t="s">
        <v>755</v>
      </c>
      <c r="AC120" s="18">
        <v>759800.17</v>
      </c>
      <c r="AE120" s="14">
        <f t="shared" si="9"/>
        <v>0.275110611675134</v>
      </c>
      <c r="AG120" s="1"/>
      <c r="AL120" s="33" t="s">
        <v>763</v>
      </c>
      <c r="AM120" s="33" t="s">
        <v>764</v>
      </c>
      <c r="AO120" s="18"/>
    </row>
    <row r="121" ht="84" hidden="1" spans="1:41">
      <c r="A121" s="1">
        <v>121</v>
      </c>
      <c r="B121" s="17">
        <v>45776</v>
      </c>
      <c r="C121" s="1" t="s">
        <v>41</v>
      </c>
      <c r="D121" s="1" t="s">
        <v>723</v>
      </c>
      <c r="E121" s="1" t="s">
        <v>765</v>
      </c>
      <c r="F121" s="18">
        <v>11089149.21</v>
      </c>
      <c r="H121" s="1" t="s">
        <v>766</v>
      </c>
      <c r="I121" s="1" t="s">
        <v>767</v>
      </c>
      <c r="J121" s="1" t="s">
        <v>46</v>
      </c>
      <c r="K121" s="1" t="s">
        <v>47</v>
      </c>
      <c r="L121" s="1" t="s">
        <v>77</v>
      </c>
      <c r="M121" s="18">
        <v>279</v>
      </c>
      <c r="N121" s="18">
        <v>0</v>
      </c>
      <c r="O121" s="1" t="s">
        <v>768</v>
      </c>
      <c r="P121" s="1" t="s">
        <v>769</v>
      </c>
      <c r="Q121" s="1" t="s">
        <v>770</v>
      </c>
      <c r="R121" s="18">
        <v>8059815.14</v>
      </c>
      <c r="S121" s="1">
        <v>8058233.17</v>
      </c>
      <c r="T121" s="9">
        <v>8058755.9</v>
      </c>
      <c r="AA121" s="1" t="s">
        <v>768</v>
      </c>
      <c r="AC121" s="18">
        <v>8059815.14</v>
      </c>
      <c r="AE121" s="14">
        <f t="shared" si="9"/>
        <v>0.273180026044577</v>
      </c>
      <c r="AG121" s="29">
        <v>0</v>
      </c>
      <c r="AL121" s="33" t="s">
        <v>771</v>
      </c>
      <c r="AM121" s="33" t="s">
        <v>772</v>
      </c>
      <c r="AO121" s="18"/>
    </row>
    <row r="122" ht="84" hidden="1" spans="1:41">
      <c r="A122" s="1">
        <v>122</v>
      </c>
      <c r="B122" s="17">
        <v>45771</v>
      </c>
      <c r="C122" s="1" t="s">
        <v>41</v>
      </c>
      <c r="D122" s="1" t="s">
        <v>723</v>
      </c>
      <c r="E122" s="1" t="s">
        <v>773</v>
      </c>
      <c r="F122" s="18">
        <v>10298385.97</v>
      </c>
      <c r="H122" s="1" t="s">
        <v>774</v>
      </c>
      <c r="I122" s="1" t="s">
        <v>775</v>
      </c>
      <c r="J122" s="1" t="s">
        <v>46</v>
      </c>
      <c r="K122" s="1" t="s">
        <v>47</v>
      </c>
      <c r="L122" s="1" t="s">
        <v>77</v>
      </c>
      <c r="M122" s="18">
        <v>322</v>
      </c>
      <c r="N122" s="18">
        <v>0</v>
      </c>
      <c r="O122" s="1" t="s">
        <v>776</v>
      </c>
      <c r="P122" s="1" t="s">
        <v>777</v>
      </c>
      <c r="Q122" s="1" t="s">
        <v>778</v>
      </c>
      <c r="R122" s="18">
        <v>7501876.18</v>
      </c>
      <c r="S122" s="1">
        <v>7499666.58</v>
      </c>
      <c r="T122" s="1">
        <v>7504092.02</v>
      </c>
      <c r="AA122" s="1" t="s">
        <v>776</v>
      </c>
      <c r="AC122" s="18">
        <v>7501876.18</v>
      </c>
      <c r="AE122" s="14">
        <f t="shared" si="9"/>
        <v>0.271548357009191</v>
      </c>
      <c r="AG122" s="14">
        <v>0.015</v>
      </c>
      <c r="AL122" s="33" t="s">
        <v>779</v>
      </c>
      <c r="AM122" s="33" t="s">
        <v>780</v>
      </c>
      <c r="AO122" s="18"/>
    </row>
    <row r="123" ht="84" hidden="1" spans="1:41">
      <c r="A123" s="1">
        <v>123</v>
      </c>
      <c r="B123" s="17">
        <v>45771</v>
      </c>
      <c r="C123" s="1" t="s">
        <v>41</v>
      </c>
      <c r="D123" s="1" t="s">
        <v>723</v>
      </c>
      <c r="E123" s="1" t="s">
        <v>781</v>
      </c>
      <c r="F123" s="20">
        <v>10847423.2</v>
      </c>
      <c r="G123" s="20"/>
      <c r="H123" s="1" t="s">
        <v>782</v>
      </c>
      <c r="I123" s="1" t="s">
        <v>775</v>
      </c>
      <c r="J123" s="1" t="s">
        <v>46</v>
      </c>
      <c r="K123" s="1" t="s">
        <v>47</v>
      </c>
      <c r="L123" s="1" t="s">
        <v>77</v>
      </c>
      <c r="M123" s="18">
        <v>427</v>
      </c>
      <c r="N123" s="18">
        <v>0</v>
      </c>
      <c r="O123" s="1" t="s">
        <v>783</v>
      </c>
      <c r="P123" s="1" t="s">
        <v>784</v>
      </c>
      <c r="Q123" s="1" t="s">
        <v>785</v>
      </c>
      <c r="R123" s="18">
        <v>8196903.13</v>
      </c>
      <c r="S123" s="1">
        <v>8196931.16</v>
      </c>
      <c r="T123" s="1">
        <v>8197397.71</v>
      </c>
      <c r="AA123" s="1" t="s">
        <v>783</v>
      </c>
      <c r="AC123" s="18">
        <v>8196903.13</v>
      </c>
      <c r="AE123" s="14">
        <f t="shared" si="9"/>
        <v>0.244345594444955</v>
      </c>
      <c r="AG123" s="29">
        <v>0</v>
      </c>
      <c r="AL123" s="33" t="s">
        <v>786</v>
      </c>
      <c r="AM123" s="33" t="s">
        <v>787</v>
      </c>
      <c r="AO123" s="18"/>
    </row>
    <row r="124" ht="101" hidden="1" spans="1:41">
      <c r="A124" s="1">
        <v>124</v>
      </c>
      <c r="B124" s="17">
        <v>45771</v>
      </c>
      <c r="C124" s="1" t="s">
        <v>41</v>
      </c>
      <c r="D124" s="1" t="s">
        <v>723</v>
      </c>
      <c r="E124" s="1" t="s">
        <v>788</v>
      </c>
      <c r="F124" s="18">
        <v>6095802.22</v>
      </c>
      <c r="H124" s="1" t="s">
        <v>789</v>
      </c>
      <c r="I124" s="1" t="s">
        <v>753</v>
      </c>
      <c r="J124" s="1" t="s">
        <v>46</v>
      </c>
      <c r="K124" s="1" t="s">
        <v>47</v>
      </c>
      <c r="L124" s="1" t="s">
        <v>77</v>
      </c>
      <c r="M124" s="18">
        <v>457</v>
      </c>
      <c r="N124" s="18">
        <v>1</v>
      </c>
      <c r="O124" s="1" t="s">
        <v>790</v>
      </c>
      <c r="P124" s="1" t="s">
        <v>791</v>
      </c>
      <c r="Q124" s="1" t="s">
        <v>792</v>
      </c>
      <c r="R124" s="18">
        <v>4317780.62</v>
      </c>
      <c r="S124" s="1">
        <v>4316409.31</v>
      </c>
      <c r="T124" s="1">
        <v>4318135.61</v>
      </c>
      <c r="AA124" s="1" t="s">
        <v>790</v>
      </c>
      <c r="AC124" s="18">
        <v>4317780.62</v>
      </c>
      <c r="AE124" s="14">
        <f t="shared" si="9"/>
        <v>0.291679673294912</v>
      </c>
      <c r="AG124" s="14">
        <v>-0.005</v>
      </c>
      <c r="AL124" s="32" t="s">
        <v>793</v>
      </c>
      <c r="AM124" s="33" t="s">
        <v>794</v>
      </c>
      <c r="AO124" s="18"/>
    </row>
    <row r="125" ht="84" hidden="1" spans="1:41">
      <c r="A125" s="1">
        <v>125</v>
      </c>
      <c r="B125" s="17">
        <v>45750</v>
      </c>
      <c r="C125" s="1" t="s">
        <v>41</v>
      </c>
      <c r="D125" s="1" t="s">
        <v>723</v>
      </c>
      <c r="E125" s="1" t="s">
        <v>795</v>
      </c>
      <c r="F125" s="18">
        <v>7925104.51</v>
      </c>
      <c r="H125" s="1" t="s">
        <v>796</v>
      </c>
      <c r="I125" s="1" t="s">
        <v>797</v>
      </c>
      <c r="J125" s="1" t="s">
        <v>46</v>
      </c>
      <c r="K125" s="1" t="s">
        <v>47</v>
      </c>
      <c r="L125" s="1" t="s">
        <v>77</v>
      </c>
      <c r="M125" s="18">
        <v>275</v>
      </c>
      <c r="N125" s="18">
        <v>0</v>
      </c>
      <c r="O125" s="1" t="s">
        <v>348</v>
      </c>
      <c r="P125" s="1" t="s">
        <v>798</v>
      </c>
      <c r="Q125" s="1" t="s">
        <v>293</v>
      </c>
      <c r="R125" s="18">
        <v>5910833.18</v>
      </c>
      <c r="S125" s="1">
        <v>5911060.36</v>
      </c>
      <c r="T125" s="9">
        <v>5911606</v>
      </c>
      <c r="AA125" s="1" t="s">
        <v>348</v>
      </c>
      <c r="AC125" s="18">
        <v>5910833.18</v>
      </c>
      <c r="AE125" s="14">
        <f t="shared" si="9"/>
        <v>0.254163377588064</v>
      </c>
      <c r="AG125" s="14">
        <v>-0.005</v>
      </c>
      <c r="AL125" s="33" t="s">
        <v>799</v>
      </c>
      <c r="AM125" s="33" t="s">
        <v>800</v>
      </c>
      <c r="AO125" s="18"/>
    </row>
    <row r="126" ht="101" hidden="1" spans="1:41">
      <c r="A126" s="1">
        <v>126</v>
      </c>
      <c r="B126" s="17">
        <v>45749</v>
      </c>
      <c r="C126" s="1" t="s">
        <v>41</v>
      </c>
      <c r="D126" s="1" t="s">
        <v>723</v>
      </c>
      <c r="E126" s="1" t="s">
        <v>801</v>
      </c>
      <c r="F126" s="18">
        <v>16582160.95</v>
      </c>
      <c r="H126" s="1" t="s">
        <v>802</v>
      </c>
      <c r="I126" s="1" t="s">
        <v>803</v>
      </c>
      <c r="J126" s="1" t="s">
        <v>46</v>
      </c>
      <c r="K126" s="1" t="s">
        <v>47</v>
      </c>
      <c r="L126" s="1" t="s">
        <v>77</v>
      </c>
      <c r="M126" s="18">
        <v>283</v>
      </c>
      <c r="N126" s="18">
        <v>0</v>
      </c>
      <c r="O126" s="1" t="s">
        <v>804</v>
      </c>
      <c r="P126" s="1" t="s">
        <v>805</v>
      </c>
      <c r="Q126" s="1" t="s">
        <v>348</v>
      </c>
      <c r="R126" s="20">
        <v>12391934</v>
      </c>
      <c r="S126" s="1">
        <v>12381899.58</v>
      </c>
      <c r="T126" s="1">
        <v>12393621.26</v>
      </c>
      <c r="AA126" s="1" t="s">
        <v>804</v>
      </c>
      <c r="AC126" s="20">
        <v>12391934</v>
      </c>
      <c r="AD126" s="20"/>
      <c r="AE126" s="14">
        <f t="shared" si="9"/>
        <v>0.252694866648246</v>
      </c>
      <c r="AG126" s="14">
        <v>0.005</v>
      </c>
      <c r="AL126" s="32" t="s">
        <v>806</v>
      </c>
      <c r="AM126" s="33" t="s">
        <v>807</v>
      </c>
      <c r="AO126" s="18"/>
    </row>
    <row r="127" ht="101" hidden="1" spans="1:41">
      <c r="A127" s="1">
        <v>127</v>
      </c>
      <c r="B127" s="17">
        <v>45743</v>
      </c>
      <c r="C127" s="1" t="s">
        <v>41</v>
      </c>
      <c r="D127" s="1" t="s">
        <v>723</v>
      </c>
      <c r="E127" s="1" t="s">
        <v>808</v>
      </c>
      <c r="F127" s="18">
        <v>5451147.86</v>
      </c>
      <c r="H127" s="1" t="s">
        <v>809</v>
      </c>
      <c r="I127" s="1" t="s">
        <v>753</v>
      </c>
      <c r="J127" s="1" t="s">
        <v>46</v>
      </c>
      <c r="K127" s="1" t="s">
        <v>47</v>
      </c>
      <c r="L127" s="1" t="s">
        <v>77</v>
      </c>
      <c r="M127" s="18">
        <v>499</v>
      </c>
      <c r="N127" s="18">
        <v>1</v>
      </c>
      <c r="O127" s="1" t="s">
        <v>810</v>
      </c>
      <c r="P127" s="1" t="s">
        <v>811</v>
      </c>
      <c r="Q127" s="1" t="s">
        <v>812</v>
      </c>
      <c r="R127" s="18">
        <v>4101666.35</v>
      </c>
      <c r="S127" s="1">
        <v>4101035.17</v>
      </c>
      <c r="T127" s="1">
        <v>4101376.35</v>
      </c>
      <c r="AA127" s="1" t="s">
        <v>810</v>
      </c>
      <c r="AC127" s="18">
        <v>4101666.35</v>
      </c>
      <c r="AE127" s="14">
        <f t="shared" si="9"/>
        <v>0.247559146194211</v>
      </c>
      <c r="AG127" s="14">
        <v>0.005</v>
      </c>
      <c r="AL127" s="33" t="s">
        <v>813</v>
      </c>
      <c r="AM127" s="33" t="s">
        <v>814</v>
      </c>
      <c r="AO127" s="18"/>
    </row>
    <row r="128" ht="409.5" hidden="1" spans="1:41">
      <c r="A128" s="1">
        <v>128</v>
      </c>
      <c r="B128" s="17">
        <v>45726</v>
      </c>
      <c r="C128" s="1" t="s">
        <v>41</v>
      </c>
      <c r="D128" s="1" t="s">
        <v>723</v>
      </c>
      <c r="E128" s="1" t="s">
        <v>815</v>
      </c>
      <c r="F128" s="18">
        <v>37000000</v>
      </c>
      <c r="H128" s="1" t="s">
        <v>816</v>
      </c>
      <c r="I128" s="1" t="s">
        <v>817</v>
      </c>
      <c r="J128" s="1" t="s">
        <v>193</v>
      </c>
      <c r="K128" s="1" t="s">
        <v>100</v>
      </c>
      <c r="L128" s="1" t="s">
        <v>101</v>
      </c>
      <c r="M128" s="18">
        <v>5</v>
      </c>
      <c r="N128" s="18">
        <v>1</v>
      </c>
      <c r="O128" s="1" t="s">
        <v>818</v>
      </c>
      <c r="P128" s="1" t="s">
        <v>819</v>
      </c>
      <c r="Q128" s="1" t="s">
        <v>820</v>
      </c>
      <c r="X128" s="16">
        <v>0.0976</v>
      </c>
      <c r="Y128" s="16"/>
      <c r="Z128" s="14">
        <v>0.093</v>
      </c>
      <c r="AA128" s="1" t="s">
        <v>818</v>
      </c>
      <c r="AD128" s="16">
        <v>0.0976</v>
      </c>
      <c r="AE128" s="14">
        <v>0.0976</v>
      </c>
      <c r="AG128" s="29">
        <v>0.01</v>
      </c>
      <c r="AL128" s="32" t="s">
        <v>821</v>
      </c>
      <c r="AM128" s="32" t="s">
        <v>822</v>
      </c>
      <c r="AO128" s="33" t="s">
        <v>823</v>
      </c>
    </row>
    <row r="129" ht="68" hidden="1" spans="1:41">
      <c r="A129" s="1">
        <v>129</v>
      </c>
      <c r="B129" s="17">
        <v>45672</v>
      </c>
      <c r="C129" s="1" t="s">
        <v>41</v>
      </c>
      <c r="D129" s="1" t="s">
        <v>723</v>
      </c>
      <c r="E129" s="1" t="s">
        <v>824</v>
      </c>
      <c r="F129" s="18">
        <v>3965416.05</v>
      </c>
      <c r="H129" s="1" t="s">
        <v>782</v>
      </c>
      <c r="I129" s="1" t="s">
        <v>825</v>
      </c>
      <c r="J129" s="1" t="s">
        <v>46</v>
      </c>
      <c r="K129" s="1" t="s">
        <v>47</v>
      </c>
      <c r="L129" s="1" t="s">
        <v>77</v>
      </c>
      <c r="M129" s="18">
        <v>22</v>
      </c>
      <c r="N129" s="18">
        <v>3</v>
      </c>
      <c r="O129" s="1" t="s">
        <v>826</v>
      </c>
      <c r="P129" s="1" t="s">
        <v>827</v>
      </c>
      <c r="Q129" s="1" t="s">
        <v>828</v>
      </c>
      <c r="R129" s="18">
        <v>3381289.98</v>
      </c>
      <c r="S129" s="1">
        <v>3449822.38</v>
      </c>
      <c r="T129" s="1">
        <v>3338802.23</v>
      </c>
      <c r="AA129" s="1" t="s">
        <v>826</v>
      </c>
      <c r="AC129" s="18">
        <v>3381289.98</v>
      </c>
      <c r="AE129" s="14">
        <f t="shared" si="9"/>
        <v>0.147305115688933</v>
      </c>
      <c r="AG129" s="14">
        <v>0.01</v>
      </c>
      <c r="AL129" s="33" t="s">
        <v>829</v>
      </c>
      <c r="AM129" s="33" t="s">
        <v>830</v>
      </c>
      <c r="AO129" s="18"/>
    </row>
    <row r="130" ht="84" hidden="1" spans="1:41">
      <c r="A130" s="1">
        <v>130</v>
      </c>
      <c r="B130" s="17">
        <v>45666</v>
      </c>
      <c r="C130" s="1" t="s">
        <v>41</v>
      </c>
      <c r="D130" s="1" t="s">
        <v>723</v>
      </c>
      <c r="E130" s="1" t="s">
        <v>831</v>
      </c>
      <c r="F130" s="18">
        <v>5174079.49</v>
      </c>
      <c r="H130" s="1" t="s">
        <v>832</v>
      </c>
      <c r="I130" s="1" t="s">
        <v>733</v>
      </c>
      <c r="J130" s="1" t="s">
        <v>46</v>
      </c>
      <c r="K130" s="1" t="s">
        <v>47</v>
      </c>
      <c r="L130" s="1" t="s">
        <v>77</v>
      </c>
      <c r="M130" s="18">
        <v>357</v>
      </c>
      <c r="N130" s="18">
        <v>0</v>
      </c>
      <c r="O130" s="1" t="s">
        <v>833</v>
      </c>
      <c r="P130" s="1" t="s">
        <v>834</v>
      </c>
      <c r="Q130" s="1" t="s">
        <v>835</v>
      </c>
      <c r="R130" s="18">
        <v>3683811.25</v>
      </c>
      <c r="S130" s="1">
        <v>3684004.45</v>
      </c>
      <c r="T130" s="1">
        <v>3684252.68</v>
      </c>
      <c r="AA130" s="28" t="s">
        <v>833</v>
      </c>
      <c r="AC130" s="18">
        <v>3683811.25</v>
      </c>
      <c r="AE130" s="14">
        <f t="shared" si="9"/>
        <v>0.28802577209729</v>
      </c>
      <c r="AG130" s="14">
        <v>0.015</v>
      </c>
      <c r="AL130" s="33" t="s">
        <v>836</v>
      </c>
      <c r="AM130" s="33" t="s">
        <v>837</v>
      </c>
      <c r="AO130" s="18"/>
    </row>
    <row r="131" ht="101" hidden="1" spans="1:41">
      <c r="A131" s="1">
        <v>131</v>
      </c>
      <c r="B131" s="17">
        <v>45814</v>
      </c>
      <c r="C131" s="1" t="s">
        <v>41</v>
      </c>
      <c r="D131" s="1" t="s">
        <v>838</v>
      </c>
      <c r="E131" s="1" t="s">
        <v>839</v>
      </c>
      <c r="F131" s="18">
        <v>9498141.97</v>
      </c>
      <c r="H131" s="1" t="s">
        <v>840</v>
      </c>
      <c r="I131" s="1" t="s">
        <v>841</v>
      </c>
      <c r="J131" s="1" t="s">
        <v>46</v>
      </c>
      <c r="K131" s="1" t="s">
        <v>47</v>
      </c>
      <c r="L131" s="1" t="s">
        <v>77</v>
      </c>
      <c r="M131" s="18">
        <v>352</v>
      </c>
      <c r="N131" s="18">
        <v>0</v>
      </c>
      <c r="O131" s="1" t="s">
        <v>842</v>
      </c>
      <c r="P131" s="1" t="s">
        <v>843</v>
      </c>
      <c r="Q131" s="1" t="s">
        <v>844</v>
      </c>
      <c r="R131" s="18">
        <v>6729700</v>
      </c>
      <c r="S131" s="18">
        <v>6728389.7</v>
      </c>
      <c r="T131" s="18">
        <v>6730961.89</v>
      </c>
      <c r="AA131" s="1" t="s">
        <v>842</v>
      </c>
      <c r="AC131" s="18">
        <v>6729700</v>
      </c>
      <c r="AE131" s="14">
        <f t="shared" si="9"/>
        <v>0.29147195090831</v>
      </c>
      <c r="AG131" s="14">
        <v>0.01</v>
      </c>
      <c r="AL131" s="33" t="s">
        <v>845</v>
      </c>
      <c r="AM131" s="33" t="s">
        <v>846</v>
      </c>
      <c r="AO131" s="18"/>
    </row>
    <row r="132" ht="84" hidden="1" spans="1:41">
      <c r="A132" s="1">
        <v>132</v>
      </c>
      <c r="B132" s="17">
        <v>45807</v>
      </c>
      <c r="C132" s="1" t="s">
        <v>41</v>
      </c>
      <c r="D132" s="1" t="s">
        <v>838</v>
      </c>
      <c r="E132" s="1" t="s">
        <v>847</v>
      </c>
      <c r="F132" s="18">
        <v>6985403.8</v>
      </c>
      <c r="H132" s="1" t="s">
        <v>848</v>
      </c>
      <c r="I132" s="1" t="s">
        <v>849</v>
      </c>
      <c r="J132" s="1" t="s">
        <v>46</v>
      </c>
      <c r="K132" s="1" t="s">
        <v>47</v>
      </c>
      <c r="L132" s="1" t="s">
        <v>77</v>
      </c>
      <c r="M132" s="18">
        <v>384</v>
      </c>
      <c r="N132" s="18">
        <v>1</v>
      </c>
      <c r="O132" s="1" t="s">
        <v>850</v>
      </c>
      <c r="P132" s="1" t="s">
        <v>79</v>
      </c>
      <c r="Q132" s="1" t="s">
        <v>851</v>
      </c>
      <c r="R132" s="18">
        <v>5021024.43</v>
      </c>
      <c r="S132" s="18">
        <v>5021174.38</v>
      </c>
      <c r="T132" s="18">
        <v>5021247.95</v>
      </c>
      <c r="AA132" s="1" t="s">
        <v>850</v>
      </c>
      <c r="AC132" s="18">
        <v>5021024.43</v>
      </c>
      <c r="AE132" s="14">
        <f t="shared" si="9"/>
        <v>0.281211999512469</v>
      </c>
      <c r="AG132" s="14">
        <v>-0.005</v>
      </c>
      <c r="AL132" s="33" t="s">
        <v>852</v>
      </c>
      <c r="AM132" s="33" t="s">
        <v>853</v>
      </c>
      <c r="AO132" s="18"/>
    </row>
    <row r="133" ht="101" hidden="1" spans="1:41">
      <c r="A133" s="1">
        <v>133</v>
      </c>
      <c r="B133" s="17">
        <v>45799</v>
      </c>
      <c r="C133" s="1" t="s">
        <v>41</v>
      </c>
      <c r="D133" s="1" t="s">
        <v>838</v>
      </c>
      <c r="E133" s="1" t="s">
        <v>854</v>
      </c>
      <c r="F133" s="18">
        <v>8653486.99</v>
      </c>
      <c r="H133" s="1" t="s">
        <v>855</v>
      </c>
      <c r="I133" s="1" t="s">
        <v>856</v>
      </c>
      <c r="J133" s="1" t="s">
        <v>46</v>
      </c>
      <c r="K133" s="1" t="s">
        <v>47</v>
      </c>
      <c r="L133" s="1" t="s">
        <v>77</v>
      </c>
      <c r="M133" s="18">
        <v>270</v>
      </c>
      <c r="N133" s="18">
        <v>0</v>
      </c>
      <c r="O133" s="1" t="s">
        <v>857</v>
      </c>
      <c r="P133" s="1" t="s">
        <v>858</v>
      </c>
      <c r="Q133" s="1" t="s">
        <v>859</v>
      </c>
      <c r="R133" s="18">
        <v>6181103.11</v>
      </c>
      <c r="S133" s="18">
        <v>6181704.96</v>
      </c>
      <c r="T133" s="18">
        <v>6183256.17</v>
      </c>
      <c r="AA133" s="1" t="s">
        <v>860</v>
      </c>
      <c r="AC133" s="18">
        <v>6181103.11</v>
      </c>
      <c r="AE133" s="14">
        <f t="shared" ref="AE133:AE159" si="10">(1-AC133/F133)</f>
        <v>0.285709550711418</v>
      </c>
      <c r="AG133" s="14">
        <v>0.015</v>
      </c>
      <c r="AL133" s="33" t="s">
        <v>861</v>
      </c>
      <c r="AM133" s="33" t="s">
        <v>862</v>
      </c>
      <c r="AO133" s="18"/>
    </row>
    <row r="134" ht="68" hidden="1" spans="1:41">
      <c r="A134" s="1">
        <v>134</v>
      </c>
      <c r="B134" s="17">
        <v>45797</v>
      </c>
      <c r="C134" s="1" t="s">
        <v>41</v>
      </c>
      <c r="D134" s="1" t="s">
        <v>838</v>
      </c>
      <c r="E134" s="1" t="s">
        <v>863</v>
      </c>
      <c r="F134" s="18">
        <v>4118913.12</v>
      </c>
      <c r="H134" s="1" t="s">
        <v>864</v>
      </c>
      <c r="I134" s="1" t="s">
        <v>865</v>
      </c>
      <c r="J134" s="1" t="s">
        <v>46</v>
      </c>
      <c r="K134" s="1" t="s">
        <v>47</v>
      </c>
      <c r="L134" s="1" t="s">
        <v>77</v>
      </c>
      <c r="M134" s="18">
        <v>198</v>
      </c>
      <c r="N134" s="18">
        <v>0</v>
      </c>
      <c r="O134" s="1" t="s">
        <v>866</v>
      </c>
      <c r="P134" s="1" t="s">
        <v>867</v>
      </c>
      <c r="Q134" s="1" t="s">
        <v>868</v>
      </c>
      <c r="R134" s="18">
        <v>3017820.55</v>
      </c>
      <c r="S134" s="18">
        <v>3017927.64</v>
      </c>
      <c r="T134" s="18">
        <v>3020742.51</v>
      </c>
      <c r="AA134" s="1" t="s">
        <v>866</v>
      </c>
      <c r="AC134" s="40">
        <v>3017820.55</v>
      </c>
      <c r="AD134" s="40"/>
      <c r="AE134" s="14">
        <f t="shared" si="10"/>
        <v>0.267326000311461</v>
      </c>
      <c r="AG134" s="14">
        <v>0.005</v>
      </c>
      <c r="AL134" s="33" t="s">
        <v>869</v>
      </c>
      <c r="AM134" s="33" t="s">
        <v>870</v>
      </c>
      <c r="AO134" s="18"/>
    </row>
    <row r="135" ht="168" hidden="1" spans="1:41">
      <c r="A135" s="1">
        <v>135</v>
      </c>
      <c r="B135" s="17">
        <v>45786</v>
      </c>
      <c r="C135" s="1" t="s">
        <v>41</v>
      </c>
      <c r="D135" s="1" t="s">
        <v>838</v>
      </c>
      <c r="E135" s="1" t="s">
        <v>871</v>
      </c>
      <c r="F135" s="18">
        <v>18876796.84</v>
      </c>
      <c r="H135" s="1" t="s">
        <v>848</v>
      </c>
      <c r="I135" s="1" t="s">
        <v>872</v>
      </c>
      <c r="J135" s="1" t="s">
        <v>46</v>
      </c>
      <c r="K135" s="1" t="s">
        <v>100</v>
      </c>
      <c r="L135" s="1" t="s">
        <v>161</v>
      </c>
      <c r="M135" s="18">
        <v>54</v>
      </c>
      <c r="N135" s="18">
        <v>0</v>
      </c>
      <c r="O135" s="1" t="s">
        <v>873</v>
      </c>
      <c r="P135" s="1" t="s">
        <v>874</v>
      </c>
      <c r="Q135" s="1" t="s">
        <v>875</v>
      </c>
      <c r="R135" s="18">
        <v>14533019.37</v>
      </c>
      <c r="S135" s="18">
        <v>14619551.16</v>
      </c>
      <c r="T135" s="20">
        <v>14416499.8</v>
      </c>
      <c r="AA135" s="1" t="s">
        <v>873</v>
      </c>
      <c r="AC135" s="18">
        <v>14533019.37</v>
      </c>
      <c r="AE135" s="14">
        <f t="shared" si="10"/>
        <v>0.230111999764468</v>
      </c>
      <c r="AG135" s="14">
        <v>0.005</v>
      </c>
      <c r="AL135" s="32" t="s">
        <v>876</v>
      </c>
      <c r="AM135" s="33" t="s">
        <v>877</v>
      </c>
      <c r="AO135" s="33" t="s">
        <v>878</v>
      </c>
    </row>
    <row r="136" ht="84" hidden="1" spans="1:41">
      <c r="A136" s="1">
        <v>136</v>
      </c>
      <c r="B136" s="17">
        <v>45786</v>
      </c>
      <c r="C136" s="1" t="s">
        <v>41</v>
      </c>
      <c r="D136" s="1" t="s">
        <v>838</v>
      </c>
      <c r="E136" s="1" t="s">
        <v>879</v>
      </c>
      <c r="F136" s="18">
        <v>4085650.13</v>
      </c>
      <c r="H136" s="1" t="s">
        <v>848</v>
      </c>
      <c r="I136" s="1" t="s">
        <v>880</v>
      </c>
      <c r="J136" s="1" t="s">
        <v>46</v>
      </c>
      <c r="K136" s="1" t="s">
        <v>47</v>
      </c>
      <c r="L136" s="1" t="s">
        <v>77</v>
      </c>
      <c r="M136" s="18">
        <v>194</v>
      </c>
      <c r="N136" s="18">
        <v>0</v>
      </c>
      <c r="O136" s="1" t="s">
        <v>881</v>
      </c>
      <c r="P136" s="1" t="s">
        <v>882</v>
      </c>
      <c r="Q136" s="1" t="s">
        <v>734</v>
      </c>
      <c r="R136" s="18">
        <v>2963743.63</v>
      </c>
      <c r="S136" s="18">
        <v>2962096.34</v>
      </c>
      <c r="T136" s="18">
        <v>2962096.34</v>
      </c>
      <c r="AA136" s="1" t="s">
        <v>881</v>
      </c>
      <c r="AC136" s="18">
        <v>2963743.63</v>
      </c>
      <c r="AE136" s="14">
        <f t="shared" si="10"/>
        <v>0.274596811842036</v>
      </c>
      <c r="AG136" s="14">
        <v>0.005</v>
      </c>
      <c r="AL136" s="33" t="s">
        <v>883</v>
      </c>
      <c r="AM136" s="33" t="s">
        <v>884</v>
      </c>
      <c r="AO136" s="18"/>
    </row>
    <row r="137" ht="118" hidden="1" spans="1:41">
      <c r="A137" s="1">
        <v>137</v>
      </c>
      <c r="B137" s="17">
        <v>45744</v>
      </c>
      <c r="C137" s="1" t="s">
        <v>41</v>
      </c>
      <c r="D137" s="1" t="s">
        <v>838</v>
      </c>
      <c r="E137" s="1" t="s">
        <v>885</v>
      </c>
      <c r="F137" s="18">
        <v>18983231.23</v>
      </c>
      <c r="H137" s="1" t="s">
        <v>848</v>
      </c>
      <c r="I137" s="1" t="s">
        <v>872</v>
      </c>
      <c r="J137" s="1" t="s">
        <v>46</v>
      </c>
      <c r="K137" s="1" t="s">
        <v>100</v>
      </c>
      <c r="L137" s="1" t="s">
        <v>161</v>
      </c>
      <c r="M137" s="18">
        <v>52</v>
      </c>
      <c r="N137" s="18">
        <v>0</v>
      </c>
      <c r="O137" s="1" t="s">
        <v>886</v>
      </c>
      <c r="P137" s="1" t="s">
        <v>887</v>
      </c>
      <c r="Q137" s="1" t="s">
        <v>888</v>
      </c>
      <c r="R137" s="18">
        <v>14427255.73</v>
      </c>
      <c r="S137" s="18">
        <v>14617688.05</v>
      </c>
      <c r="T137" s="20">
        <v>14674038.5</v>
      </c>
      <c r="AA137" s="1" t="s">
        <v>886</v>
      </c>
      <c r="AC137" s="18">
        <v>14427255.73</v>
      </c>
      <c r="AE137" s="14">
        <f t="shared" si="10"/>
        <v>0.240000000252855</v>
      </c>
      <c r="AG137" s="1"/>
      <c r="AL137" s="33" t="s">
        <v>889</v>
      </c>
      <c r="AM137" s="33" t="s">
        <v>890</v>
      </c>
      <c r="AO137" s="33" t="s">
        <v>891</v>
      </c>
    </row>
    <row r="138" ht="101" hidden="1" spans="1:41">
      <c r="A138" s="1">
        <v>138</v>
      </c>
      <c r="B138" s="17">
        <v>45741</v>
      </c>
      <c r="C138" s="1" t="s">
        <v>41</v>
      </c>
      <c r="D138" s="1" t="s">
        <v>838</v>
      </c>
      <c r="E138" s="1" t="s">
        <v>892</v>
      </c>
      <c r="F138" s="18">
        <v>7999323.96</v>
      </c>
      <c r="H138" s="1" t="s">
        <v>893</v>
      </c>
      <c r="I138" s="1" t="s">
        <v>894</v>
      </c>
      <c r="J138" s="1" t="s">
        <v>46</v>
      </c>
      <c r="K138" s="1" t="s">
        <v>47</v>
      </c>
      <c r="L138" s="1" t="s">
        <v>77</v>
      </c>
      <c r="M138" s="18">
        <v>228</v>
      </c>
      <c r="N138" s="18">
        <v>1</v>
      </c>
      <c r="O138" s="1" t="s">
        <v>735</v>
      </c>
      <c r="P138" s="1" t="s">
        <v>895</v>
      </c>
      <c r="Q138" s="1" t="s">
        <v>896</v>
      </c>
      <c r="R138" s="18">
        <v>5820725.46</v>
      </c>
      <c r="S138" s="18">
        <v>5821108.05</v>
      </c>
      <c r="T138" s="18">
        <v>5822829.15</v>
      </c>
      <c r="AA138" s="1" t="s">
        <v>735</v>
      </c>
      <c r="AC138" s="18">
        <v>5820725.46</v>
      </c>
      <c r="AE138" s="14">
        <f t="shared" si="10"/>
        <v>0.272347827253142</v>
      </c>
      <c r="AG138" s="14">
        <v>0.005</v>
      </c>
      <c r="AL138" s="33" t="s">
        <v>897</v>
      </c>
      <c r="AM138" s="33" t="s">
        <v>898</v>
      </c>
      <c r="AO138" s="18"/>
    </row>
    <row r="139" ht="168" hidden="1" spans="1:41">
      <c r="A139" s="1">
        <v>139</v>
      </c>
      <c r="B139" s="17">
        <v>45741</v>
      </c>
      <c r="C139" s="1" t="s">
        <v>41</v>
      </c>
      <c r="D139" s="1" t="s">
        <v>838</v>
      </c>
      <c r="E139" s="1" t="s">
        <v>899</v>
      </c>
      <c r="F139" s="18">
        <v>12999803.08</v>
      </c>
      <c r="H139" s="1" t="s">
        <v>900</v>
      </c>
      <c r="I139" s="1" t="s">
        <v>901</v>
      </c>
      <c r="J139" s="1" t="s">
        <v>46</v>
      </c>
      <c r="K139" s="1" t="s">
        <v>47</v>
      </c>
      <c r="L139" s="1" t="s">
        <v>77</v>
      </c>
      <c r="M139" s="18">
        <v>354</v>
      </c>
      <c r="N139" s="18">
        <v>0</v>
      </c>
      <c r="O139" s="1" t="s">
        <v>902</v>
      </c>
      <c r="P139" s="1" t="s">
        <v>903</v>
      </c>
      <c r="Q139" s="1" t="s">
        <v>904</v>
      </c>
      <c r="R139" s="18">
        <v>9464727.63</v>
      </c>
      <c r="S139" s="18">
        <v>9465416.62</v>
      </c>
      <c r="T139" s="18">
        <v>9465468.62</v>
      </c>
      <c r="AA139" s="1" t="s">
        <v>902</v>
      </c>
      <c r="AC139" s="18">
        <v>9464727.63</v>
      </c>
      <c r="AE139" s="14">
        <f t="shared" si="10"/>
        <v>0.271932999926642</v>
      </c>
      <c r="AG139" s="14">
        <v>0.005</v>
      </c>
      <c r="AL139" s="33" t="s">
        <v>905</v>
      </c>
      <c r="AM139" s="33" t="s">
        <v>906</v>
      </c>
      <c r="AO139" s="18"/>
    </row>
    <row r="140" ht="68" hidden="1" spans="1:41">
      <c r="A140" s="1">
        <v>140</v>
      </c>
      <c r="B140" s="17">
        <v>45741</v>
      </c>
      <c r="C140" s="1" t="s">
        <v>41</v>
      </c>
      <c r="D140" s="1" t="s">
        <v>838</v>
      </c>
      <c r="E140" s="1" t="s">
        <v>907</v>
      </c>
      <c r="F140" s="20">
        <v>4951453.5</v>
      </c>
      <c r="G140" s="20"/>
      <c r="H140" s="1" t="s">
        <v>893</v>
      </c>
      <c r="I140" s="1" t="s">
        <v>908</v>
      </c>
      <c r="J140" s="1" t="s">
        <v>46</v>
      </c>
      <c r="K140" s="1" t="s">
        <v>47</v>
      </c>
      <c r="L140" s="1" t="s">
        <v>77</v>
      </c>
      <c r="M140" s="18">
        <v>163</v>
      </c>
      <c r="N140" s="18">
        <v>0</v>
      </c>
      <c r="O140" s="1" t="s">
        <v>349</v>
      </c>
      <c r="P140" s="1" t="s">
        <v>909</v>
      </c>
      <c r="Q140" s="1" t="s">
        <v>149</v>
      </c>
      <c r="R140" s="18">
        <v>3599013.49</v>
      </c>
      <c r="S140" s="18">
        <v>3598221.25</v>
      </c>
      <c r="T140" s="18">
        <v>3598533.46</v>
      </c>
      <c r="AA140" s="1" t="s">
        <v>349</v>
      </c>
      <c r="AC140" s="18">
        <v>3599013.49</v>
      </c>
      <c r="AE140" s="14">
        <f t="shared" si="10"/>
        <v>0.27314000020398</v>
      </c>
      <c r="AG140" s="29">
        <v>0.01</v>
      </c>
      <c r="AL140" s="33" t="s">
        <v>910</v>
      </c>
      <c r="AM140" s="33" t="s">
        <v>911</v>
      </c>
      <c r="AO140" s="18"/>
    </row>
    <row r="141" ht="101" hidden="1" spans="1:41">
      <c r="A141" s="1">
        <v>141</v>
      </c>
      <c r="B141" s="17">
        <v>45741</v>
      </c>
      <c r="C141" s="1" t="s">
        <v>41</v>
      </c>
      <c r="D141" s="1" t="s">
        <v>838</v>
      </c>
      <c r="E141" s="1" t="s">
        <v>912</v>
      </c>
      <c r="F141" s="18">
        <v>11632699.71</v>
      </c>
      <c r="H141" s="1" t="s">
        <v>900</v>
      </c>
      <c r="I141" s="1" t="s">
        <v>555</v>
      </c>
      <c r="J141" s="1" t="s">
        <v>46</v>
      </c>
      <c r="K141" s="1" t="s">
        <v>47</v>
      </c>
      <c r="L141" s="1" t="s">
        <v>77</v>
      </c>
      <c r="M141" s="18">
        <v>346</v>
      </c>
      <c r="N141" s="18">
        <v>0</v>
      </c>
      <c r="O141" s="1" t="s">
        <v>87</v>
      </c>
      <c r="P141" s="1" t="s">
        <v>913</v>
      </c>
      <c r="Q141" s="1" t="s">
        <v>914</v>
      </c>
      <c r="R141" s="18">
        <v>8523028.02</v>
      </c>
      <c r="S141" s="18">
        <v>8523417.32</v>
      </c>
      <c r="T141" s="18">
        <v>8523930.51</v>
      </c>
      <c r="AA141" s="1" t="s">
        <v>87</v>
      </c>
      <c r="AC141" s="18">
        <v>8523028.02</v>
      </c>
      <c r="AE141" s="14">
        <f t="shared" si="10"/>
        <v>0.267321582050879</v>
      </c>
      <c r="AG141" s="29">
        <v>0</v>
      </c>
      <c r="AL141" s="33" t="s">
        <v>915</v>
      </c>
      <c r="AM141" s="33" t="s">
        <v>916</v>
      </c>
      <c r="AO141" s="18"/>
    </row>
    <row r="142" ht="68" hidden="1" spans="1:41">
      <c r="A142" s="1">
        <v>142</v>
      </c>
      <c r="B142" s="17">
        <v>45741</v>
      </c>
      <c r="C142" s="1" t="s">
        <v>41</v>
      </c>
      <c r="D142" s="1" t="s">
        <v>838</v>
      </c>
      <c r="E142" s="1" t="s">
        <v>917</v>
      </c>
      <c r="F142" s="18">
        <v>11492212.36</v>
      </c>
      <c r="H142" s="1" t="s">
        <v>900</v>
      </c>
      <c r="I142" s="1" t="s">
        <v>918</v>
      </c>
      <c r="J142" s="1" t="s">
        <v>46</v>
      </c>
      <c r="K142" s="1" t="s">
        <v>47</v>
      </c>
      <c r="L142" s="1" t="s">
        <v>77</v>
      </c>
      <c r="M142" s="18">
        <v>342</v>
      </c>
      <c r="N142" s="18">
        <v>0</v>
      </c>
      <c r="O142" s="1" t="s">
        <v>919</v>
      </c>
      <c r="P142" s="1" t="s">
        <v>517</v>
      </c>
      <c r="Q142" s="1" t="s">
        <v>920</v>
      </c>
      <c r="R142" s="20">
        <v>8354459</v>
      </c>
      <c r="S142" s="18">
        <v>8354551.08</v>
      </c>
      <c r="T142" s="18">
        <v>8354880.52</v>
      </c>
      <c r="AA142" s="1" t="s">
        <v>919</v>
      </c>
      <c r="AC142" s="20">
        <v>8354459</v>
      </c>
      <c r="AD142" s="20"/>
      <c r="AE142" s="14">
        <f t="shared" si="10"/>
        <v>0.273033012418159</v>
      </c>
      <c r="AG142" s="29">
        <v>0.01</v>
      </c>
      <c r="AL142" s="33" t="s">
        <v>921</v>
      </c>
      <c r="AM142" s="33" t="s">
        <v>922</v>
      </c>
      <c r="AO142" s="18"/>
    </row>
    <row r="143" ht="56" hidden="1" customHeight="1" spans="1:41">
      <c r="A143" s="1">
        <v>143</v>
      </c>
      <c r="B143" s="17">
        <v>45740</v>
      </c>
      <c r="C143" s="1" t="s">
        <v>41</v>
      </c>
      <c r="D143" s="1" t="s">
        <v>838</v>
      </c>
      <c r="E143" s="1" t="s">
        <v>923</v>
      </c>
      <c r="F143" s="18">
        <v>15956183.91</v>
      </c>
      <c r="H143" s="1" t="s">
        <v>893</v>
      </c>
      <c r="I143" s="1" t="s">
        <v>901</v>
      </c>
      <c r="J143" s="1" t="s">
        <v>46</v>
      </c>
      <c r="K143" s="1" t="s">
        <v>47</v>
      </c>
      <c r="L143" s="1" t="s">
        <v>77</v>
      </c>
      <c r="M143" s="18">
        <v>270</v>
      </c>
      <c r="N143" s="18">
        <v>0</v>
      </c>
      <c r="O143" s="1" t="s">
        <v>924</v>
      </c>
      <c r="P143" s="1" t="s">
        <v>925</v>
      </c>
      <c r="Q143" s="1" t="s">
        <v>926</v>
      </c>
      <c r="R143" s="18">
        <v>11637080.59</v>
      </c>
      <c r="S143" s="18">
        <v>11634540.99</v>
      </c>
      <c r="T143" s="18">
        <v>11638037.91</v>
      </c>
      <c r="AA143" s="1" t="s">
        <v>924</v>
      </c>
      <c r="AC143" s="18">
        <v>11637080.59</v>
      </c>
      <c r="AE143" s="14">
        <f t="shared" si="10"/>
        <v>0.270685230526401</v>
      </c>
      <c r="AG143" s="14">
        <v>0.01</v>
      </c>
      <c r="AL143" s="33" t="s">
        <v>927</v>
      </c>
      <c r="AM143" s="33" t="s">
        <v>928</v>
      </c>
      <c r="AO143" s="18"/>
    </row>
    <row r="144" ht="84" hidden="1" spans="1:41">
      <c r="A144" s="1">
        <v>144</v>
      </c>
      <c r="B144" s="17">
        <v>45740</v>
      </c>
      <c r="C144" s="1" t="s">
        <v>41</v>
      </c>
      <c r="D144" s="1" t="s">
        <v>838</v>
      </c>
      <c r="E144" s="1" t="s">
        <v>929</v>
      </c>
      <c r="F144" s="18">
        <v>6473586.87</v>
      </c>
      <c r="H144" s="1" t="s">
        <v>900</v>
      </c>
      <c r="I144" s="1" t="s">
        <v>849</v>
      </c>
      <c r="J144" s="1" t="s">
        <v>46</v>
      </c>
      <c r="K144" s="1" t="s">
        <v>47</v>
      </c>
      <c r="L144" s="1" t="s">
        <v>77</v>
      </c>
      <c r="M144" s="18">
        <v>436</v>
      </c>
      <c r="N144" s="18">
        <v>0</v>
      </c>
      <c r="O144" s="1" t="s">
        <v>930</v>
      </c>
      <c r="P144" s="1" t="s">
        <v>931</v>
      </c>
      <c r="Q144" s="1" t="s">
        <v>932</v>
      </c>
      <c r="R144" s="18">
        <v>4737953.49</v>
      </c>
      <c r="S144" s="18">
        <v>4738562.01</v>
      </c>
      <c r="T144" s="18">
        <v>4738665.59</v>
      </c>
      <c r="AA144" s="1" t="s">
        <v>930</v>
      </c>
      <c r="AC144" s="18">
        <v>4737953.49</v>
      </c>
      <c r="AE144" s="14">
        <f t="shared" si="10"/>
        <v>0.268110000661812</v>
      </c>
      <c r="AG144" s="14">
        <v>0.005</v>
      </c>
      <c r="AL144" s="33" t="s">
        <v>933</v>
      </c>
      <c r="AM144" s="33" t="s">
        <v>934</v>
      </c>
      <c r="AO144" s="18"/>
    </row>
    <row r="145" ht="84" hidden="1" spans="1:41">
      <c r="A145" s="1">
        <v>145</v>
      </c>
      <c r="B145" s="17">
        <v>45740</v>
      </c>
      <c r="C145" s="1" t="s">
        <v>41</v>
      </c>
      <c r="D145" s="1" t="s">
        <v>838</v>
      </c>
      <c r="E145" s="1" t="s">
        <v>935</v>
      </c>
      <c r="F145" s="18">
        <v>6372294.29</v>
      </c>
      <c r="H145" s="1" t="s">
        <v>900</v>
      </c>
      <c r="I145" s="1" t="s">
        <v>441</v>
      </c>
      <c r="J145" s="1" t="s">
        <v>46</v>
      </c>
      <c r="K145" s="1" t="s">
        <v>47</v>
      </c>
      <c r="L145" s="1" t="s">
        <v>77</v>
      </c>
      <c r="M145" s="18">
        <v>435</v>
      </c>
      <c r="N145" s="18">
        <v>0</v>
      </c>
      <c r="O145" s="1" t="s">
        <v>936</v>
      </c>
      <c r="P145" s="1" t="s">
        <v>937</v>
      </c>
      <c r="Q145" s="1" t="s">
        <v>605</v>
      </c>
      <c r="R145" s="20">
        <v>4631795.1</v>
      </c>
      <c r="S145" s="18">
        <v>4632492.27</v>
      </c>
      <c r="T145" s="18">
        <v>4632498.64</v>
      </c>
      <c r="AA145" s="1" t="s">
        <v>936</v>
      </c>
      <c r="AC145" s="20">
        <v>4631795.1</v>
      </c>
      <c r="AD145" s="20"/>
      <c r="AE145" s="14">
        <f t="shared" si="10"/>
        <v>0.273135406305913</v>
      </c>
      <c r="AG145" s="29">
        <v>0.01</v>
      </c>
      <c r="AL145" s="33" t="s">
        <v>938</v>
      </c>
      <c r="AM145" s="33" t="s">
        <v>939</v>
      </c>
      <c r="AO145" s="18"/>
    </row>
    <row r="146" ht="84" hidden="1" spans="1:41">
      <c r="A146" s="1">
        <v>146</v>
      </c>
      <c r="B146" s="17">
        <v>45740</v>
      </c>
      <c r="C146" s="1" t="s">
        <v>41</v>
      </c>
      <c r="D146" s="1" t="s">
        <v>838</v>
      </c>
      <c r="E146" s="1" t="s">
        <v>940</v>
      </c>
      <c r="F146" s="18">
        <v>6414152.89</v>
      </c>
      <c r="H146" s="1" t="s">
        <v>900</v>
      </c>
      <c r="I146" s="1" t="s">
        <v>941</v>
      </c>
      <c r="J146" s="1" t="s">
        <v>46</v>
      </c>
      <c r="K146" s="1" t="s">
        <v>47</v>
      </c>
      <c r="L146" s="1" t="s">
        <v>77</v>
      </c>
      <c r="M146" s="18">
        <v>438</v>
      </c>
      <c r="N146" s="18">
        <v>0</v>
      </c>
      <c r="O146" s="1" t="s">
        <v>224</v>
      </c>
      <c r="P146" s="1" t="s">
        <v>942</v>
      </c>
      <c r="Q146" s="1" t="s">
        <v>649</v>
      </c>
      <c r="R146" s="18">
        <v>4679977.77</v>
      </c>
      <c r="S146" s="18">
        <v>4680118.73</v>
      </c>
      <c r="T146" s="18">
        <v>4680407.36</v>
      </c>
      <c r="AA146" s="1" t="s">
        <v>224</v>
      </c>
      <c r="AC146" s="18">
        <v>4679977.77</v>
      </c>
      <c r="AE146" s="14">
        <f t="shared" si="10"/>
        <v>0.270366975926575</v>
      </c>
      <c r="AG146" s="14">
        <v>0.005</v>
      </c>
      <c r="AL146" s="33" t="s">
        <v>943</v>
      </c>
      <c r="AM146" s="33" t="s">
        <v>944</v>
      </c>
      <c r="AO146" s="18"/>
    </row>
    <row r="147" ht="68" hidden="1" spans="1:41">
      <c r="A147" s="1">
        <v>147</v>
      </c>
      <c r="B147" s="17">
        <v>45707</v>
      </c>
      <c r="C147" s="1" t="s">
        <v>41</v>
      </c>
      <c r="D147" s="1" t="s">
        <v>838</v>
      </c>
      <c r="E147" s="1" t="s">
        <v>945</v>
      </c>
      <c r="F147" s="18">
        <v>5963809.33</v>
      </c>
      <c r="H147" s="1" t="s">
        <v>946</v>
      </c>
      <c r="I147" s="1" t="s">
        <v>947</v>
      </c>
      <c r="J147" s="1" t="s">
        <v>46</v>
      </c>
      <c r="K147" s="1" t="s">
        <v>47</v>
      </c>
      <c r="L147" s="1" t="s">
        <v>77</v>
      </c>
      <c r="M147" s="18">
        <v>304</v>
      </c>
      <c r="N147" s="18">
        <v>0</v>
      </c>
      <c r="O147" s="1" t="s">
        <v>51</v>
      </c>
      <c r="P147" s="1" t="s">
        <v>79</v>
      </c>
      <c r="Q147" s="1" t="s">
        <v>948</v>
      </c>
      <c r="R147" s="18">
        <v>4383616.75</v>
      </c>
      <c r="S147" s="18">
        <v>4383838.38</v>
      </c>
      <c r="T147" s="18">
        <v>4381950.63</v>
      </c>
      <c r="AA147" s="1" t="s">
        <v>51</v>
      </c>
      <c r="AC147" s="20">
        <v>4383616.75</v>
      </c>
      <c r="AD147" s="20"/>
      <c r="AE147" s="14">
        <f t="shared" si="10"/>
        <v>0.264963631893979</v>
      </c>
      <c r="AG147" s="29">
        <v>0</v>
      </c>
      <c r="AL147" s="33" t="s">
        <v>949</v>
      </c>
      <c r="AM147" s="33" t="s">
        <v>950</v>
      </c>
      <c r="AO147" s="18"/>
    </row>
    <row r="148" ht="185" hidden="1" spans="1:41">
      <c r="A148" s="1">
        <v>148</v>
      </c>
      <c r="B148" s="17">
        <v>45701</v>
      </c>
      <c r="C148" s="1" t="s">
        <v>41</v>
      </c>
      <c r="D148" s="1" t="s">
        <v>838</v>
      </c>
      <c r="E148" s="1" t="s">
        <v>951</v>
      </c>
      <c r="F148" s="18">
        <v>23856892.27</v>
      </c>
      <c r="H148" s="1" t="s">
        <v>848</v>
      </c>
      <c r="I148" s="1" t="s">
        <v>952</v>
      </c>
      <c r="J148" s="1" t="s">
        <v>46</v>
      </c>
      <c r="K148" s="1" t="s">
        <v>100</v>
      </c>
      <c r="L148" s="1" t="s">
        <v>161</v>
      </c>
      <c r="M148" s="18">
        <v>40</v>
      </c>
      <c r="N148" s="18">
        <v>10</v>
      </c>
      <c r="O148" s="1" t="s">
        <v>953</v>
      </c>
      <c r="P148" s="1" t="s">
        <v>954</v>
      </c>
      <c r="Q148" s="1" t="s">
        <v>955</v>
      </c>
      <c r="R148" s="18">
        <v>18255293.97</v>
      </c>
      <c r="S148" s="18">
        <v>18360264.29</v>
      </c>
      <c r="T148" s="20">
        <v>17800000</v>
      </c>
      <c r="AA148" s="1" t="s">
        <v>953</v>
      </c>
      <c r="AC148" s="18">
        <v>18255293.97</v>
      </c>
      <c r="AE148" s="14">
        <f t="shared" si="10"/>
        <v>0.234799999790585</v>
      </c>
      <c r="AG148" s="1"/>
      <c r="AL148" s="32" t="s">
        <v>956</v>
      </c>
      <c r="AM148" s="33" t="s">
        <v>957</v>
      </c>
      <c r="AO148" s="32" t="s">
        <v>958</v>
      </c>
    </row>
    <row r="149" ht="101" hidden="1" spans="1:41">
      <c r="A149" s="1">
        <v>149</v>
      </c>
      <c r="B149" s="17">
        <v>45683</v>
      </c>
      <c r="C149" s="1" t="s">
        <v>41</v>
      </c>
      <c r="D149" s="1" t="s">
        <v>838</v>
      </c>
      <c r="E149" s="1" t="s">
        <v>959</v>
      </c>
      <c r="F149" s="20">
        <v>4991865.1</v>
      </c>
      <c r="G149" s="20"/>
      <c r="H149" s="1" t="s">
        <v>960</v>
      </c>
      <c r="I149" s="1" t="s">
        <v>555</v>
      </c>
      <c r="J149" s="1" t="s">
        <v>46</v>
      </c>
      <c r="K149" s="1" t="s">
        <v>47</v>
      </c>
      <c r="L149" s="1" t="s">
        <v>77</v>
      </c>
      <c r="M149" s="18">
        <v>270</v>
      </c>
      <c r="N149" s="18">
        <v>0</v>
      </c>
      <c r="O149" s="1" t="s">
        <v>805</v>
      </c>
      <c r="P149" s="1" t="s">
        <v>961</v>
      </c>
      <c r="Q149" s="1" t="s">
        <v>576</v>
      </c>
      <c r="R149" s="40">
        <v>3627500</v>
      </c>
      <c r="S149" s="18">
        <v>3626500.88</v>
      </c>
      <c r="T149" s="18">
        <v>3627039.26</v>
      </c>
      <c r="AA149" s="1" t="s">
        <v>805</v>
      </c>
      <c r="AC149" s="20">
        <v>3627500</v>
      </c>
      <c r="AD149" s="20"/>
      <c r="AE149" s="14">
        <f t="shared" si="10"/>
        <v>0.273317702435508</v>
      </c>
      <c r="AG149" s="14">
        <v>-0.005</v>
      </c>
      <c r="AL149" s="33" t="s">
        <v>962</v>
      </c>
      <c r="AM149" s="33" t="s">
        <v>963</v>
      </c>
      <c r="AO149" s="18"/>
    </row>
    <row r="150" ht="202" hidden="1" spans="1:41">
      <c r="A150" s="1">
        <v>150</v>
      </c>
      <c r="B150" s="17">
        <v>45846</v>
      </c>
      <c r="C150" s="1" t="s">
        <v>41</v>
      </c>
      <c r="D150" s="1" t="s">
        <v>137</v>
      </c>
      <c r="E150" s="1" t="s">
        <v>964</v>
      </c>
      <c r="F150" s="18">
        <v>539027585.54</v>
      </c>
      <c r="H150" s="1" t="s">
        <v>965</v>
      </c>
      <c r="I150" s="1" t="s">
        <v>140</v>
      </c>
      <c r="J150" s="1" t="s">
        <v>46</v>
      </c>
      <c r="K150" s="1" t="s">
        <v>100</v>
      </c>
      <c r="L150" s="1" t="s">
        <v>966</v>
      </c>
      <c r="M150" s="18">
        <v>14</v>
      </c>
      <c r="N150" s="18">
        <v>0</v>
      </c>
      <c r="O150" s="1" t="s">
        <v>967</v>
      </c>
      <c r="P150" s="1" t="s">
        <v>968</v>
      </c>
      <c r="Q150" s="1" t="s">
        <v>969</v>
      </c>
      <c r="R150" s="18">
        <v>417476865.01</v>
      </c>
      <c r="S150" s="18">
        <v>420811543.32</v>
      </c>
      <c r="T150" s="18">
        <v>426844419.63</v>
      </c>
      <c r="AA150" s="1" t="s">
        <v>967</v>
      </c>
      <c r="AC150" s="18">
        <v>417476865.01</v>
      </c>
      <c r="AE150" s="14">
        <f t="shared" si="10"/>
        <v>0.225499999982802</v>
      </c>
      <c r="AG150" s="16">
        <v>0.01</v>
      </c>
      <c r="AL150" s="32" t="s">
        <v>970</v>
      </c>
      <c r="AM150" s="32" t="s">
        <v>971</v>
      </c>
      <c r="AO150" s="32" t="s">
        <v>972</v>
      </c>
    </row>
    <row r="151" ht="236" hidden="1" spans="1:41">
      <c r="A151" s="1">
        <v>151</v>
      </c>
      <c r="B151" s="17">
        <v>45838</v>
      </c>
      <c r="C151" s="1" t="s">
        <v>41</v>
      </c>
      <c r="D151" s="1" t="s">
        <v>528</v>
      </c>
      <c r="E151" s="1" t="s">
        <v>973</v>
      </c>
      <c r="F151" s="18">
        <v>274097084.26</v>
      </c>
      <c r="H151" s="1" t="s">
        <v>974</v>
      </c>
      <c r="I151" s="1" t="s">
        <v>975</v>
      </c>
      <c r="J151" s="1" t="s">
        <v>46</v>
      </c>
      <c r="K151" s="1" t="s">
        <v>100</v>
      </c>
      <c r="L151" s="1" t="s">
        <v>161</v>
      </c>
      <c r="M151" s="18">
        <v>89</v>
      </c>
      <c r="N151" s="18">
        <v>1</v>
      </c>
      <c r="O151" s="1" t="s">
        <v>976</v>
      </c>
      <c r="R151" s="18">
        <v>222046047.96</v>
      </c>
      <c r="AA151" s="1" t="s">
        <v>976</v>
      </c>
      <c r="AB151" s="1"/>
      <c r="AC151" s="1">
        <v>222046047.96</v>
      </c>
      <c r="AE151" s="14">
        <f t="shared" si="10"/>
        <v>0.189899999996446</v>
      </c>
      <c r="AG151" s="43">
        <v>0</v>
      </c>
      <c r="AL151" s="32" t="s">
        <v>977</v>
      </c>
      <c r="AM151" s="32" t="s">
        <v>978</v>
      </c>
      <c r="AN151" s="1"/>
      <c r="AO151" s="33" t="s">
        <v>979</v>
      </c>
    </row>
    <row r="152" ht="202" hidden="1" spans="1:41">
      <c r="A152" s="1">
        <v>152</v>
      </c>
      <c r="B152" s="17">
        <v>45838</v>
      </c>
      <c r="C152" s="1" t="s">
        <v>41</v>
      </c>
      <c r="D152" s="1" t="s">
        <v>838</v>
      </c>
      <c r="E152" s="1" t="s">
        <v>980</v>
      </c>
      <c r="F152" s="18">
        <v>275065744.93</v>
      </c>
      <c r="H152" s="1" t="s">
        <v>981</v>
      </c>
      <c r="I152" s="1" t="s">
        <v>926</v>
      </c>
      <c r="J152" s="1" t="s">
        <v>982</v>
      </c>
      <c r="K152" s="1" t="s">
        <v>100</v>
      </c>
      <c r="L152" s="1" t="s">
        <v>161</v>
      </c>
      <c r="M152" s="18">
        <v>36</v>
      </c>
      <c r="N152" s="18">
        <v>0</v>
      </c>
      <c r="O152" s="1" t="s">
        <v>983</v>
      </c>
      <c r="P152" s="1" t="s">
        <v>984</v>
      </c>
      <c r="Q152" s="1" t="s">
        <v>985</v>
      </c>
      <c r="R152" s="18">
        <v>209352538.46</v>
      </c>
      <c r="S152" s="18">
        <v>214660671.73</v>
      </c>
      <c r="T152" s="18">
        <v>207509597.98</v>
      </c>
      <c r="AA152" s="1" t="s">
        <v>983</v>
      </c>
      <c r="AB152" s="1"/>
      <c r="AC152" s="1">
        <v>209352538.46</v>
      </c>
      <c r="AE152" s="14">
        <f t="shared" si="10"/>
        <v>0.238900000022624</v>
      </c>
      <c r="AG152" s="16">
        <v>0.015</v>
      </c>
      <c r="AL152" s="32" t="s">
        <v>986</v>
      </c>
      <c r="AM152" s="32" t="s">
        <v>987</v>
      </c>
      <c r="AN152" s="1"/>
      <c r="AO152" s="33" t="s">
        <v>988</v>
      </c>
    </row>
    <row r="153" ht="236" hidden="1" spans="1:41">
      <c r="A153" s="1">
        <v>153</v>
      </c>
      <c r="B153" s="17">
        <v>45833</v>
      </c>
      <c r="C153" s="1" t="s">
        <v>989</v>
      </c>
      <c r="D153" s="1" t="s">
        <v>838</v>
      </c>
      <c r="E153" s="1" t="s">
        <v>990</v>
      </c>
      <c r="F153" s="18">
        <v>87030036.16</v>
      </c>
      <c r="H153" s="1" t="s">
        <v>991</v>
      </c>
      <c r="I153" s="1" t="s">
        <v>856</v>
      </c>
      <c r="J153" s="1" t="s">
        <v>46</v>
      </c>
      <c r="K153" s="1" t="s">
        <v>100</v>
      </c>
      <c r="L153" s="1" t="s">
        <v>161</v>
      </c>
      <c r="M153" s="18">
        <v>18</v>
      </c>
      <c r="N153" s="18">
        <v>3</v>
      </c>
      <c r="O153" s="1" t="s">
        <v>992</v>
      </c>
      <c r="P153" s="1" t="s">
        <v>993</v>
      </c>
      <c r="Q153" s="1" t="s">
        <v>994</v>
      </c>
      <c r="R153" s="18">
        <v>66561024.94</v>
      </c>
      <c r="S153" s="18">
        <v>66891285.79</v>
      </c>
      <c r="T153" s="18">
        <v>66963433.69</v>
      </c>
      <c r="AA153" s="1" t="s">
        <v>992</v>
      </c>
      <c r="AB153" s="1"/>
      <c r="AC153" s="1">
        <v>66561024.94</v>
      </c>
      <c r="AE153" s="14">
        <f t="shared" si="10"/>
        <v>0.235194791627672</v>
      </c>
      <c r="AG153" s="16">
        <v>-0.005</v>
      </c>
      <c r="AL153" s="32" t="s">
        <v>995</v>
      </c>
      <c r="AM153" s="32" t="s">
        <v>996</v>
      </c>
      <c r="AN153" s="1"/>
      <c r="AO153" s="33" t="s">
        <v>997</v>
      </c>
    </row>
    <row r="154" ht="202" hidden="1" spans="1:41">
      <c r="A154" s="1">
        <v>154</v>
      </c>
      <c r="B154" s="17">
        <v>45827</v>
      </c>
      <c r="C154" s="1" t="s">
        <v>41</v>
      </c>
      <c r="D154" s="1" t="s">
        <v>528</v>
      </c>
      <c r="E154" s="1" t="s">
        <v>529</v>
      </c>
      <c r="F154" s="18">
        <v>37836893</v>
      </c>
      <c r="H154" s="1" t="s">
        <v>530</v>
      </c>
      <c r="I154" s="1" t="s">
        <v>262</v>
      </c>
      <c r="J154" s="1" t="s">
        <v>46</v>
      </c>
      <c r="K154" s="1" t="s">
        <v>100</v>
      </c>
      <c r="L154" s="1" t="s">
        <v>161</v>
      </c>
      <c r="M154" s="18">
        <v>20</v>
      </c>
      <c r="N154" s="18">
        <v>0</v>
      </c>
      <c r="O154" s="1" t="s">
        <v>531</v>
      </c>
      <c r="P154" s="1" t="s">
        <v>532</v>
      </c>
      <c r="Q154" s="1" t="s">
        <v>533</v>
      </c>
      <c r="R154" s="18">
        <v>31056635.52</v>
      </c>
      <c r="S154" s="18">
        <v>30750042.11</v>
      </c>
      <c r="T154" s="18">
        <v>30273298.09</v>
      </c>
      <c r="AA154" s="1" t="s">
        <v>531</v>
      </c>
      <c r="AB154" s="1"/>
      <c r="AC154" s="1">
        <v>31056635.52</v>
      </c>
      <c r="AE154" s="14">
        <f t="shared" si="10"/>
        <v>0.179196993791219</v>
      </c>
      <c r="AL154" s="32" t="s">
        <v>998</v>
      </c>
      <c r="AM154" s="32" t="s">
        <v>999</v>
      </c>
      <c r="AN154" s="1"/>
      <c r="AO154" s="33" t="s">
        <v>1000</v>
      </c>
    </row>
    <row r="155" ht="286" hidden="1" spans="1:41">
      <c r="A155" s="1">
        <v>155</v>
      </c>
      <c r="B155" s="17">
        <v>45632</v>
      </c>
      <c r="C155" s="1" t="s">
        <v>989</v>
      </c>
      <c r="D155" s="1" t="s">
        <v>42</v>
      </c>
      <c r="E155" s="1" t="s">
        <v>1001</v>
      </c>
      <c r="F155" s="18">
        <v>89626489.86</v>
      </c>
      <c r="H155" s="1" t="s">
        <v>76</v>
      </c>
      <c r="I155" s="1" t="s">
        <v>45</v>
      </c>
      <c r="J155" s="1" t="s">
        <v>46</v>
      </c>
      <c r="K155" s="1" t="s">
        <v>100</v>
      </c>
      <c r="L155" s="1" t="s">
        <v>161</v>
      </c>
      <c r="M155" s="18">
        <v>67</v>
      </c>
      <c r="N155" s="18">
        <v>0</v>
      </c>
      <c r="O155" s="1" t="s">
        <v>1002</v>
      </c>
      <c r="P155" s="1" t="s">
        <v>1003</v>
      </c>
      <c r="Q155" s="1" t="s">
        <v>1004</v>
      </c>
      <c r="R155" s="18">
        <v>71582617.06</v>
      </c>
      <c r="S155" s="18">
        <v>71632506.31</v>
      </c>
      <c r="T155" s="18">
        <v>71139668.32</v>
      </c>
      <c r="AA155" s="1" t="s">
        <v>1002</v>
      </c>
      <c r="AB155" s="1"/>
      <c r="AC155" s="1">
        <v>71582617.06</v>
      </c>
      <c r="AE155" s="14">
        <f t="shared" si="10"/>
        <v>0.201322988640805</v>
      </c>
      <c r="AG155" s="16">
        <v>-0.005</v>
      </c>
      <c r="AL155" s="32" t="s">
        <v>1005</v>
      </c>
      <c r="AM155" s="32" t="s">
        <v>1006</v>
      </c>
      <c r="AN155" s="1"/>
      <c r="AO155" s="33" t="s">
        <v>1007</v>
      </c>
    </row>
    <row r="156" ht="320" hidden="1" spans="1:41">
      <c r="A156" s="1">
        <v>156</v>
      </c>
      <c r="B156" s="17">
        <v>45840</v>
      </c>
      <c r="C156" s="1" t="s">
        <v>989</v>
      </c>
      <c r="D156" s="1" t="s">
        <v>528</v>
      </c>
      <c r="E156" s="1" t="s">
        <v>1008</v>
      </c>
      <c r="F156" s="18">
        <v>44979521.58</v>
      </c>
      <c r="H156" s="1" t="s">
        <v>1009</v>
      </c>
      <c r="I156" s="1" t="s">
        <v>539</v>
      </c>
      <c r="J156" s="1" t="s">
        <v>46</v>
      </c>
      <c r="K156" s="1" t="s">
        <v>100</v>
      </c>
      <c r="L156" s="1" t="s">
        <v>161</v>
      </c>
      <c r="M156" s="18">
        <v>10</v>
      </c>
      <c r="O156" s="1" t="s">
        <v>1010</v>
      </c>
      <c r="R156" s="18">
        <v>35488868.59</v>
      </c>
      <c r="AA156" s="1" t="s">
        <v>1010</v>
      </c>
      <c r="AB156" s="1"/>
      <c r="AC156" s="1">
        <v>35488868.59</v>
      </c>
      <c r="AE156" s="14">
        <f t="shared" si="10"/>
        <v>0.210999420550084</v>
      </c>
      <c r="AG156" s="16">
        <v>0.015</v>
      </c>
      <c r="AL156" s="32" t="s">
        <v>1011</v>
      </c>
      <c r="AM156" s="32" t="s">
        <v>1012</v>
      </c>
      <c r="AN156" s="1"/>
      <c r="AO156" s="33" t="s">
        <v>1013</v>
      </c>
    </row>
    <row r="157" ht="252" hidden="1" spans="1:41">
      <c r="A157" s="18">
        <v>1</v>
      </c>
      <c r="B157" s="17">
        <v>45698</v>
      </c>
      <c r="C157" s="1" t="s">
        <v>1014</v>
      </c>
      <c r="D157" s="1" t="s">
        <v>723</v>
      </c>
      <c r="E157" s="1" t="s">
        <v>1015</v>
      </c>
      <c r="F157" s="18">
        <v>43130307.42</v>
      </c>
      <c r="H157" s="1" t="s">
        <v>1016</v>
      </c>
      <c r="I157" s="1" t="s">
        <v>726</v>
      </c>
      <c r="J157" s="1" t="s">
        <v>46</v>
      </c>
      <c r="K157" s="1" t="s">
        <v>47</v>
      </c>
      <c r="L157" s="1" t="s">
        <v>161</v>
      </c>
      <c r="M157" s="18">
        <v>216</v>
      </c>
      <c r="N157" s="18">
        <v>5</v>
      </c>
      <c r="O157" s="1" t="s">
        <v>1017</v>
      </c>
      <c r="P157" s="1" t="s">
        <v>1018</v>
      </c>
      <c r="Q157" s="1" t="s">
        <v>1019</v>
      </c>
      <c r="R157" s="18">
        <v>41014452.01</v>
      </c>
      <c r="S157" s="18">
        <v>41014730.06</v>
      </c>
      <c r="T157" s="18">
        <v>41015000</v>
      </c>
      <c r="AA157" s="1" t="s">
        <v>1017</v>
      </c>
      <c r="AB157" s="1"/>
      <c r="AC157" s="18">
        <v>41014452.01</v>
      </c>
      <c r="AE157" s="14">
        <f t="shared" si="10"/>
        <v>0.0490572763462117</v>
      </c>
      <c r="AG157" s="18">
        <v>0.3</v>
      </c>
      <c r="AL157" s="32" t="s">
        <v>1020</v>
      </c>
      <c r="AM157" s="32" t="s">
        <v>1021</v>
      </c>
      <c r="AN157" s="1"/>
      <c r="AO157" s="32" t="s">
        <v>1022</v>
      </c>
    </row>
    <row r="158" ht="168" hidden="1" spans="1:41">
      <c r="A158" s="18">
        <v>2</v>
      </c>
      <c r="B158" s="5">
        <v>45696</v>
      </c>
      <c r="C158" s="1" t="s">
        <v>1014</v>
      </c>
      <c r="D158" s="1" t="s">
        <v>528</v>
      </c>
      <c r="E158" s="1" t="s">
        <v>1023</v>
      </c>
      <c r="F158" s="18">
        <v>36080870.26</v>
      </c>
      <c r="H158" s="1" t="s">
        <v>1024</v>
      </c>
      <c r="I158" s="1" t="s">
        <v>659</v>
      </c>
      <c r="J158" s="1" t="s">
        <v>46</v>
      </c>
      <c r="K158" s="1" t="s">
        <v>47</v>
      </c>
      <c r="L158" s="1" t="s">
        <v>1025</v>
      </c>
      <c r="M158" s="18">
        <v>1402</v>
      </c>
      <c r="N158" s="18">
        <v>23</v>
      </c>
      <c r="O158" s="1" t="s">
        <v>1026</v>
      </c>
      <c r="P158" s="1" t="s">
        <v>1027</v>
      </c>
      <c r="Q158" s="1" t="s">
        <v>1028</v>
      </c>
      <c r="R158" s="18">
        <v>34287867</v>
      </c>
      <c r="S158" s="18">
        <v>34287870</v>
      </c>
      <c r="T158" s="18">
        <v>34287870</v>
      </c>
      <c r="AA158" s="1" t="s">
        <v>1026</v>
      </c>
      <c r="AB158" s="1"/>
      <c r="AC158" s="1">
        <v>34287867</v>
      </c>
      <c r="AE158" s="14">
        <f t="shared" ref="AE158:AE168" si="11">(1-AC158/F158)</f>
        <v>0.0496940136720526</v>
      </c>
      <c r="AG158" s="18">
        <v>0.3</v>
      </c>
      <c r="AL158" s="32" t="s">
        <v>1029</v>
      </c>
      <c r="AM158" s="32" t="s">
        <v>1030</v>
      </c>
      <c r="AN158" s="1"/>
      <c r="AO158" s="32" t="s">
        <v>1031</v>
      </c>
    </row>
    <row r="159" ht="252" hidden="1" spans="1:41">
      <c r="A159" s="18">
        <v>3</v>
      </c>
      <c r="B159" s="17">
        <v>45680</v>
      </c>
      <c r="C159" s="1" t="s">
        <v>1014</v>
      </c>
      <c r="D159" s="1" t="s">
        <v>528</v>
      </c>
      <c r="E159" s="1" t="s">
        <v>1032</v>
      </c>
      <c r="F159" s="18">
        <v>49885085.06</v>
      </c>
      <c r="H159" s="1" t="s">
        <v>1033</v>
      </c>
      <c r="I159" s="1" t="s">
        <v>1034</v>
      </c>
      <c r="J159" s="1" t="s">
        <v>46</v>
      </c>
      <c r="K159" s="1" t="s">
        <v>47</v>
      </c>
      <c r="L159" s="1" t="s">
        <v>1025</v>
      </c>
      <c r="M159" s="18">
        <v>1407</v>
      </c>
      <c r="N159" s="18">
        <v>2</v>
      </c>
      <c r="O159" s="1" t="s">
        <v>1035</v>
      </c>
      <c r="P159" s="1" t="s">
        <v>1036</v>
      </c>
      <c r="Q159" s="1" t="s">
        <v>1037</v>
      </c>
      <c r="R159" s="18">
        <v>47316502.17</v>
      </c>
      <c r="S159" s="20">
        <v>47317011</v>
      </c>
      <c r="T159" s="18">
        <v>47317060</v>
      </c>
      <c r="AA159" s="1" t="s">
        <v>1035</v>
      </c>
      <c r="AB159" s="1"/>
      <c r="AC159" s="18">
        <v>47316502.17</v>
      </c>
      <c r="AE159" s="14">
        <f t="shared" si="11"/>
        <v>0.051489997198774</v>
      </c>
      <c r="AG159" s="18">
        <v>0.4</v>
      </c>
      <c r="AL159" s="32" t="s">
        <v>1038</v>
      </c>
      <c r="AM159" s="32" t="s">
        <v>1039</v>
      </c>
      <c r="AN159" s="1"/>
      <c r="AO159" s="33" t="s">
        <v>1040</v>
      </c>
    </row>
    <row r="160" ht="219" hidden="1" spans="1:41">
      <c r="A160" s="18">
        <v>4</v>
      </c>
      <c r="B160" s="17">
        <v>45670</v>
      </c>
      <c r="C160" s="1" t="s">
        <v>1014</v>
      </c>
      <c r="D160" s="1" t="s">
        <v>528</v>
      </c>
      <c r="E160" s="1" t="s">
        <v>1041</v>
      </c>
      <c r="F160" s="18">
        <v>31639844.96</v>
      </c>
      <c r="H160" s="1" t="s">
        <v>1042</v>
      </c>
      <c r="I160" s="1" t="s">
        <v>60</v>
      </c>
      <c r="J160" s="1" t="s">
        <v>46</v>
      </c>
      <c r="K160" s="1" t="s">
        <v>47</v>
      </c>
      <c r="L160" s="1" t="s">
        <v>1025</v>
      </c>
      <c r="M160" s="18">
        <v>86</v>
      </c>
      <c r="N160" s="18">
        <v>0</v>
      </c>
      <c r="O160" s="1" t="s">
        <v>1043</v>
      </c>
      <c r="R160" s="18">
        <v>30059365.55</v>
      </c>
      <c r="AA160" s="1" t="s">
        <v>1043</v>
      </c>
      <c r="AB160" s="1"/>
      <c r="AC160" s="1">
        <v>30059365.55</v>
      </c>
      <c r="AE160" s="14">
        <f t="shared" si="11"/>
        <v>0.0499521856696228</v>
      </c>
      <c r="AG160" s="18">
        <v>0.4</v>
      </c>
      <c r="AL160" s="32" t="s">
        <v>1044</v>
      </c>
      <c r="AM160" s="32" t="s">
        <v>1045</v>
      </c>
      <c r="AN160" s="1"/>
      <c r="AO160" s="33" t="s">
        <v>1046</v>
      </c>
    </row>
    <row r="161" ht="219" hidden="1" spans="1:41">
      <c r="A161" s="18">
        <v>5</v>
      </c>
      <c r="B161" s="17">
        <v>45660</v>
      </c>
      <c r="C161" s="1" t="s">
        <v>1014</v>
      </c>
      <c r="D161" s="1" t="s">
        <v>528</v>
      </c>
      <c r="E161" s="1" t="s">
        <v>1047</v>
      </c>
      <c r="F161" s="18">
        <v>26398458.43</v>
      </c>
      <c r="H161" s="1" t="s">
        <v>1042</v>
      </c>
      <c r="I161" s="1" t="s">
        <v>1048</v>
      </c>
      <c r="J161" s="1" t="s">
        <v>46</v>
      </c>
      <c r="K161" s="1" t="s">
        <v>47</v>
      </c>
      <c r="L161" s="1" t="s">
        <v>1025</v>
      </c>
      <c r="M161" s="18">
        <v>102</v>
      </c>
      <c r="N161" s="18">
        <v>0</v>
      </c>
      <c r="O161" s="1" t="s">
        <v>1049</v>
      </c>
      <c r="R161" s="18">
        <v>25086264.64</v>
      </c>
      <c r="AA161" s="1" t="s">
        <v>1049</v>
      </c>
      <c r="AB161" s="1"/>
      <c r="AC161" s="1">
        <v>25086264.64</v>
      </c>
      <c r="AE161" s="14">
        <f t="shared" si="11"/>
        <v>0.0497072127707572</v>
      </c>
      <c r="AG161" s="18">
        <v>0.3</v>
      </c>
      <c r="AL161" s="32" t="s">
        <v>1050</v>
      </c>
      <c r="AM161" s="32" t="s">
        <v>1051</v>
      </c>
      <c r="AN161" s="1"/>
      <c r="AO161" s="33" t="s">
        <v>1052</v>
      </c>
    </row>
    <row r="162" ht="219" hidden="1" spans="1:41">
      <c r="A162" s="18">
        <v>6</v>
      </c>
      <c r="B162" s="17">
        <v>45653</v>
      </c>
      <c r="C162" s="1" t="s">
        <v>1014</v>
      </c>
      <c r="D162" s="18" t="s">
        <v>838</v>
      </c>
      <c r="E162" s="1" t="s">
        <v>1053</v>
      </c>
      <c r="F162" s="18">
        <v>14457809.12</v>
      </c>
      <c r="H162" s="1" t="s">
        <v>1054</v>
      </c>
      <c r="I162" s="1" t="s">
        <v>441</v>
      </c>
      <c r="J162" s="1" t="s">
        <v>46</v>
      </c>
      <c r="K162" s="1" t="s">
        <v>47</v>
      </c>
      <c r="L162" s="1" t="s">
        <v>1055</v>
      </c>
      <c r="M162" s="18">
        <v>601</v>
      </c>
      <c r="N162" s="18">
        <v>4</v>
      </c>
      <c r="O162" s="1" t="s">
        <v>1056</v>
      </c>
      <c r="P162" s="1" t="s">
        <v>1057</v>
      </c>
      <c r="Q162" s="1" t="s">
        <v>1058</v>
      </c>
      <c r="R162" s="18">
        <v>13780714.46</v>
      </c>
      <c r="S162" s="18">
        <v>13780966.92</v>
      </c>
      <c r="T162" s="18">
        <v>13780998.43</v>
      </c>
      <c r="AA162" s="1" t="s">
        <v>1056</v>
      </c>
      <c r="AB162" s="1"/>
      <c r="AC162" s="1">
        <v>13780714.46</v>
      </c>
      <c r="AE162" s="14">
        <f t="shared" si="11"/>
        <v>0.0468324525784027</v>
      </c>
      <c r="AG162" s="18">
        <v>0.2</v>
      </c>
      <c r="AL162" s="32" t="s">
        <v>1059</v>
      </c>
      <c r="AM162" s="32" t="s">
        <v>1060</v>
      </c>
      <c r="AN162" s="1"/>
      <c r="AO162" s="33" t="s">
        <v>1061</v>
      </c>
    </row>
    <row r="163" s="1" customFormat="1" ht="185" hidden="1" spans="1:41">
      <c r="A163" s="1">
        <v>7</v>
      </c>
      <c r="B163" s="1" t="s">
        <v>1062</v>
      </c>
      <c r="C163" s="1" t="s">
        <v>1014</v>
      </c>
      <c r="D163" s="1" t="s">
        <v>838</v>
      </c>
      <c r="E163" s="1" t="s">
        <v>1063</v>
      </c>
      <c r="F163" s="1">
        <v>9155742.69</v>
      </c>
      <c r="G163" s="1"/>
      <c r="H163" s="1" t="s">
        <v>1054</v>
      </c>
      <c r="I163" s="1" t="s">
        <v>1064</v>
      </c>
      <c r="J163" s="1" t="s">
        <v>46</v>
      </c>
      <c r="K163" s="1" t="s">
        <v>47</v>
      </c>
      <c r="L163" s="1" t="s">
        <v>1055</v>
      </c>
      <c r="M163" s="1">
        <v>640</v>
      </c>
      <c r="N163" s="1">
        <v>0</v>
      </c>
      <c r="O163" s="1" t="s">
        <v>1065</v>
      </c>
      <c r="P163" s="1" t="s">
        <v>1066</v>
      </c>
      <c r="Q163" s="1" t="s">
        <v>223</v>
      </c>
      <c r="R163" s="1">
        <v>8700892.74</v>
      </c>
      <c r="S163" s="1">
        <v>8699527.49</v>
      </c>
      <c r="T163" s="1">
        <v>8700379.78</v>
      </c>
      <c r="U163" s="1"/>
      <c r="V163" s="1"/>
      <c r="W163" s="1"/>
      <c r="X163" s="1"/>
      <c r="AA163" s="1" t="s">
        <v>1065</v>
      </c>
      <c r="AB163" s="1"/>
      <c r="AC163" s="1">
        <v>8700892.74</v>
      </c>
      <c r="AD163" s="1"/>
      <c r="AE163" s="14">
        <f t="shared" si="11"/>
        <v>0.049679197570372</v>
      </c>
      <c r="AG163" s="1">
        <v>0.1</v>
      </c>
      <c r="AL163" s="32" t="s">
        <v>1067</v>
      </c>
      <c r="AM163" s="32" t="s">
        <v>1068</v>
      </c>
      <c r="AN163" s="1"/>
      <c r="AO163" s="33" t="s">
        <v>1069</v>
      </c>
    </row>
    <row r="164" s="1" customFormat="1" ht="252" hidden="1" spans="1:41">
      <c r="A164" s="1">
        <v>8</v>
      </c>
      <c r="B164" s="5">
        <v>45652</v>
      </c>
      <c r="C164" s="1" t="s">
        <v>1014</v>
      </c>
      <c r="D164" s="1" t="s">
        <v>528</v>
      </c>
      <c r="E164" s="1" t="s">
        <v>1070</v>
      </c>
      <c r="F164" s="1">
        <v>49885085.06</v>
      </c>
      <c r="G164" s="1"/>
      <c r="H164" s="1" t="s">
        <v>1033</v>
      </c>
      <c r="I164" s="1" t="s">
        <v>1034</v>
      </c>
      <c r="J164" s="1" t="s">
        <v>46</v>
      </c>
      <c r="K164" s="1" t="s">
        <v>47</v>
      </c>
      <c r="L164" s="1" t="s">
        <v>1025</v>
      </c>
      <c r="M164" s="1">
        <v>35</v>
      </c>
      <c r="N164" s="1">
        <v>1</v>
      </c>
      <c r="O164" s="1" t="s">
        <v>1071</v>
      </c>
      <c r="P164" s="1"/>
      <c r="Q164" s="1"/>
      <c r="R164" s="9">
        <v>47390923.2</v>
      </c>
      <c r="S164" s="1"/>
      <c r="T164" s="1"/>
      <c r="U164" s="1"/>
      <c r="V164" s="1"/>
      <c r="W164" s="1"/>
      <c r="X164" s="1"/>
      <c r="AA164" s="1" t="s">
        <v>1071</v>
      </c>
      <c r="AB164" s="1"/>
      <c r="AC164" s="9">
        <v>47390923.2</v>
      </c>
      <c r="AD164" s="1"/>
      <c r="AE164" s="14">
        <f t="shared" si="11"/>
        <v>0.0499981478832824</v>
      </c>
      <c r="AG164" s="1">
        <v>0.2</v>
      </c>
      <c r="AL164" s="32" t="s">
        <v>1072</v>
      </c>
      <c r="AM164" s="32" t="s">
        <v>1073</v>
      </c>
      <c r="AN164" s="1"/>
      <c r="AO164" s="33" t="s">
        <v>1074</v>
      </c>
    </row>
    <row r="165" s="1" customFormat="1" ht="168" hidden="1" spans="1:41">
      <c r="A165" s="1">
        <v>9</v>
      </c>
      <c r="B165" s="5">
        <v>45652</v>
      </c>
      <c r="C165" s="1" t="s">
        <v>1014</v>
      </c>
      <c r="D165" s="1" t="s">
        <v>838</v>
      </c>
      <c r="E165" s="1" t="s">
        <v>1075</v>
      </c>
      <c r="F165" s="1">
        <v>5704657.01</v>
      </c>
      <c r="G165" s="1"/>
      <c r="H165" s="1" t="s">
        <v>1076</v>
      </c>
      <c r="I165" s="1" t="s">
        <v>300</v>
      </c>
      <c r="J165" s="1" t="s">
        <v>46</v>
      </c>
      <c r="K165" s="1" t="s">
        <v>47</v>
      </c>
      <c r="L165" s="1" t="s">
        <v>1055</v>
      </c>
      <c r="M165" s="1">
        <v>316</v>
      </c>
      <c r="N165" s="1">
        <v>0</v>
      </c>
      <c r="O165" s="1" t="s">
        <v>1077</v>
      </c>
      <c r="P165" s="1" t="s">
        <v>1078</v>
      </c>
      <c r="Q165" s="1" t="s">
        <v>1079</v>
      </c>
      <c r="R165" s="1">
        <v>5438734.47</v>
      </c>
      <c r="S165" s="1">
        <v>5438738.82</v>
      </c>
      <c r="T165" s="9">
        <v>5438783</v>
      </c>
      <c r="U165" s="1"/>
      <c r="V165" s="1"/>
      <c r="W165" s="1"/>
      <c r="X165" s="1"/>
      <c r="AA165" s="1" t="s">
        <v>1077</v>
      </c>
      <c r="AB165" s="1"/>
      <c r="AC165" s="1">
        <v>5438734.47</v>
      </c>
      <c r="AD165" s="1"/>
      <c r="AE165" s="14">
        <f t="shared" si="11"/>
        <v>0.0466149918450575</v>
      </c>
      <c r="AG165" s="1">
        <v>0.1</v>
      </c>
      <c r="AL165" s="32" t="s">
        <v>1080</v>
      </c>
      <c r="AM165" s="32" t="s">
        <v>1081</v>
      </c>
      <c r="AN165" s="1"/>
      <c r="AO165" s="33" t="s">
        <v>1082</v>
      </c>
    </row>
    <row r="166" s="1" customFormat="1" ht="152" hidden="1" spans="1:41">
      <c r="A166" s="1">
        <v>10</v>
      </c>
      <c r="B166" s="5">
        <v>45651</v>
      </c>
      <c r="C166" s="1" t="s">
        <v>1014</v>
      </c>
      <c r="D166" s="1" t="s">
        <v>838</v>
      </c>
      <c r="E166" s="1" t="s">
        <v>1083</v>
      </c>
      <c r="F166" s="1">
        <v>28344775.09</v>
      </c>
      <c r="G166" s="1"/>
      <c r="H166" s="1" t="s">
        <v>1054</v>
      </c>
      <c r="I166" s="1" t="s">
        <v>555</v>
      </c>
      <c r="J166" s="1" t="s">
        <v>46</v>
      </c>
      <c r="K166" s="1" t="s">
        <v>47</v>
      </c>
      <c r="L166" s="1" t="s">
        <v>1025</v>
      </c>
      <c r="M166" s="1">
        <v>262</v>
      </c>
      <c r="N166" s="1">
        <v>5</v>
      </c>
      <c r="O166" s="1" t="s">
        <v>1084</v>
      </c>
      <c r="P166" s="1" t="s">
        <v>1085</v>
      </c>
      <c r="Q166" s="1" t="s">
        <v>1086</v>
      </c>
      <c r="R166" s="1">
        <v>26599525.24</v>
      </c>
      <c r="S166" s="1">
        <v>26591483</v>
      </c>
      <c r="T166" s="1">
        <v>26580664.94</v>
      </c>
      <c r="U166" s="1"/>
      <c r="V166" s="1"/>
      <c r="W166" s="1"/>
      <c r="X166" s="1"/>
      <c r="AA166" s="1" t="s">
        <v>1084</v>
      </c>
      <c r="AB166" s="1"/>
      <c r="AC166" s="1">
        <v>26599525.24</v>
      </c>
      <c r="AD166" s="1"/>
      <c r="AE166" s="14">
        <f t="shared" si="11"/>
        <v>0.0615721890351398</v>
      </c>
      <c r="AG166" s="1">
        <v>0.4</v>
      </c>
      <c r="AL166" s="32" t="s">
        <v>1087</v>
      </c>
      <c r="AM166" s="32" t="s">
        <v>1088</v>
      </c>
      <c r="AN166" s="1"/>
      <c r="AO166" s="33" t="s">
        <v>1089</v>
      </c>
    </row>
    <row r="167" s="1" customFormat="1" ht="152" hidden="1" spans="1:41">
      <c r="A167" s="1">
        <v>11</v>
      </c>
      <c r="B167" s="5">
        <v>45650</v>
      </c>
      <c r="C167" s="1" t="s">
        <v>1014</v>
      </c>
      <c r="D167" s="1" t="s">
        <v>838</v>
      </c>
      <c r="E167" s="1" t="s">
        <v>1090</v>
      </c>
      <c r="F167" s="1">
        <v>20359500.36</v>
      </c>
      <c r="G167" s="1"/>
      <c r="H167" s="1" t="s">
        <v>1054</v>
      </c>
      <c r="I167" s="1" t="s">
        <v>918</v>
      </c>
      <c r="J167" s="1" t="s">
        <v>46</v>
      </c>
      <c r="K167" s="1" t="s">
        <v>47</v>
      </c>
      <c r="L167" s="1" t="s">
        <v>1025</v>
      </c>
      <c r="M167" s="1">
        <v>310</v>
      </c>
      <c r="N167" s="1">
        <v>7</v>
      </c>
      <c r="O167" s="1" t="s">
        <v>1091</v>
      </c>
      <c r="P167" s="1" t="s">
        <v>1092</v>
      </c>
      <c r="Q167" s="1" t="s">
        <v>1085</v>
      </c>
      <c r="R167" s="1">
        <v>19122062.18</v>
      </c>
      <c r="S167" s="1">
        <v>19105097.74</v>
      </c>
      <c r="T167" s="9">
        <v>19106453</v>
      </c>
      <c r="U167" s="1"/>
      <c r="V167" s="1"/>
      <c r="W167" s="1"/>
      <c r="X167" s="1"/>
      <c r="AA167" s="1" t="s">
        <v>1091</v>
      </c>
      <c r="AB167" s="1"/>
      <c r="AC167" s="1">
        <v>19122062.18</v>
      </c>
      <c r="AD167" s="1"/>
      <c r="AE167" s="14">
        <f t="shared" si="11"/>
        <v>0.0607793982229139</v>
      </c>
      <c r="AG167" s="1">
        <v>0.2</v>
      </c>
      <c r="AL167" s="32" t="s">
        <v>1093</v>
      </c>
      <c r="AM167" s="32" t="s">
        <v>1094</v>
      </c>
      <c r="AN167" s="1"/>
      <c r="AO167" s="33" t="s">
        <v>1095</v>
      </c>
    </row>
    <row r="168" s="1" customFormat="1" ht="168" hidden="1" spans="1:41">
      <c r="A168" s="1">
        <v>12</v>
      </c>
      <c r="B168" s="5">
        <v>45649</v>
      </c>
      <c r="C168" s="1" t="s">
        <v>1014</v>
      </c>
      <c r="D168" s="1" t="s">
        <v>528</v>
      </c>
      <c r="E168" s="1" t="s">
        <v>1096</v>
      </c>
      <c r="F168" s="9">
        <v>7002737.8</v>
      </c>
      <c r="G168" s="1"/>
      <c r="H168" s="1" t="s">
        <v>1097</v>
      </c>
      <c r="I168" s="1" t="s">
        <v>521</v>
      </c>
      <c r="J168" s="1" t="s">
        <v>46</v>
      </c>
      <c r="K168" s="1" t="s">
        <v>47</v>
      </c>
      <c r="L168" s="1" t="s">
        <v>1055</v>
      </c>
      <c r="M168" s="1">
        <v>454</v>
      </c>
      <c r="N168" s="1">
        <v>1</v>
      </c>
      <c r="O168" s="1" t="s">
        <v>1098</v>
      </c>
      <c r="P168" s="1"/>
      <c r="Q168" s="1"/>
      <c r="R168" s="1">
        <v>6651885.22</v>
      </c>
      <c r="S168" s="1"/>
      <c r="T168" s="1"/>
      <c r="U168" s="1"/>
      <c r="V168" s="1"/>
      <c r="W168" s="1"/>
      <c r="X168" s="1"/>
      <c r="AA168" s="1" t="s">
        <v>1098</v>
      </c>
      <c r="AB168" s="1"/>
      <c r="AC168" s="1">
        <v>6651885.22</v>
      </c>
      <c r="AD168" s="1"/>
      <c r="AE168" s="14">
        <f t="shared" si="11"/>
        <v>0.0501022014561219</v>
      </c>
      <c r="AG168" s="1">
        <v>0.2</v>
      </c>
      <c r="AL168" s="32" t="s">
        <v>1099</v>
      </c>
      <c r="AM168" s="32" t="s">
        <v>1100</v>
      </c>
      <c r="AN168" s="1"/>
      <c r="AO168" s="32" t="s">
        <v>1101</v>
      </c>
    </row>
    <row r="169" s="18" customFormat="1" ht="168" hidden="1" spans="1:41">
      <c r="A169" s="18">
        <v>13</v>
      </c>
      <c r="B169" s="17">
        <v>45646</v>
      </c>
      <c r="C169" s="1" t="s">
        <v>1014</v>
      </c>
      <c r="D169" s="18" t="s">
        <v>528</v>
      </c>
      <c r="E169" s="1" t="s">
        <v>1102</v>
      </c>
      <c r="F169" s="18">
        <v>12495855.06</v>
      </c>
      <c r="G169" s="18"/>
      <c r="H169" s="1" t="s">
        <v>1103</v>
      </c>
      <c r="I169" s="1" t="s">
        <v>856</v>
      </c>
      <c r="J169" s="1" t="s">
        <v>46</v>
      </c>
      <c r="K169" s="18" t="s">
        <v>47</v>
      </c>
      <c r="L169" s="1" t="s">
        <v>1055</v>
      </c>
      <c r="M169" s="18">
        <v>423</v>
      </c>
      <c r="N169" s="18">
        <v>2</v>
      </c>
      <c r="O169" s="1" t="s">
        <v>1104</v>
      </c>
      <c r="P169" s="1"/>
      <c r="Q169" s="1"/>
      <c r="R169" s="18">
        <v>11871251.23</v>
      </c>
      <c r="S169" s="18"/>
      <c r="T169" s="18"/>
      <c r="U169" s="18"/>
      <c r="V169" s="18"/>
      <c r="W169" s="18"/>
      <c r="X169" s="18"/>
      <c r="AA169" s="1" t="s">
        <v>1104</v>
      </c>
      <c r="AB169" s="18"/>
      <c r="AC169" s="18">
        <v>11871251.23</v>
      </c>
      <c r="AD169" s="18"/>
      <c r="AE169" s="16">
        <v>0.05</v>
      </c>
      <c r="AF169" s="18"/>
      <c r="AG169" s="18">
        <v>0.2</v>
      </c>
      <c r="AL169" s="32" t="s">
        <v>1105</v>
      </c>
      <c r="AM169" s="33" t="s">
        <v>1106</v>
      </c>
      <c r="AN169" s="1"/>
      <c r="AO169" s="33" t="s">
        <v>1107</v>
      </c>
    </row>
    <row r="170" s="18" customFormat="1" ht="202" hidden="1" spans="1:41">
      <c r="A170" s="18">
        <v>14</v>
      </c>
      <c r="B170" s="35">
        <v>45643</v>
      </c>
      <c r="C170" s="18" t="s">
        <v>1014</v>
      </c>
      <c r="D170" s="18" t="s">
        <v>528</v>
      </c>
      <c r="E170" s="1" t="s">
        <v>1108</v>
      </c>
      <c r="F170" s="18">
        <v>35351913.35</v>
      </c>
      <c r="G170" s="18"/>
      <c r="H170" s="1" t="s">
        <v>1097</v>
      </c>
      <c r="I170" s="1" t="s">
        <v>562</v>
      </c>
      <c r="J170" s="1" t="s">
        <v>46</v>
      </c>
      <c r="K170" s="18" t="s">
        <v>47</v>
      </c>
      <c r="L170" s="1" t="s">
        <v>1025</v>
      </c>
      <c r="M170" s="18">
        <v>106</v>
      </c>
      <c r="N170" s="18">
        <v>0</v>
      </c>
      <c r="O170" s="1" t="s">
        <v>1109</v>
      </c>
      <c r="P170" s="1"/>
      <c r="Q170" s="1"/>
      <c r="R170" s="18">
        <v>33537666.56</v>
      </c>
      <c r="S170" s="18"/>
      <c r="T170" s="18"/>
      <c r="U170" s="18"/>
      <c r="V170" s="18"/>
      <c r="W170" s="18"/>
      <c r="X170" s="18"/>
      <c r="AA170" s="1" t="s">
        <v>1109</v>
      </c>
      <c r="AB170" s="18"/>
      <c r="AC170" s="18">
        <v>33537666.56</v>
      </c>
      <c r="AD170" s="18"/>
      <c r="AE170" s="16">
        <v>0.0513</v>
      </c>
      <c r="AF170" s="18"/>
      <c r="AG170" s="18">
        <v>0.3</v>
      </c>
      <c r="AL170" s="44" t="s">
        <v>1110</v>
      </c>
      <c r="AM170" s="32" t="s">
        <v>1111</v>
      </c>
      <c r="AN170" s="1"/>
      <c r="AO170" s="33" t="s">
        <v>1112</v>
      </c>
    </row>
    <row r="171" s="18" customFormat="1" ht="152" hidden="1" spans="1:41">
      <c r="A171" s="18">
        <v>15</v>
      </c>
      <c r="B171" s="35">
        <v>45625</v>
      </c>
      <c r="C171" s="18" t="s">
        <v>1014</v>
      </c>
      <c r="D171" s="18" t="s">
        <v>190</v>
      </c>
      <c r="E171" s="1" t="s">
        <v>1113</v>
      </c>
      <c r="F171" s="18">
        <v>14653884.86</v>
      </c>
      <c r="G171" s="18"/>
      <c r="H171" s="1" t="s">
        <v>1114</v>
      </c>
      <c r="I171" s="1" t="s">
        <v>872</v>
      </c>
      <c r="J171" s="1" t="s">
        <v>46</v>
      </c>
      <c r="K171" s="18" t="s">
        <v>47</v>
      </c>
      <c r="L171" s="1" t="s">
        <v>1055</v>
      </c>
      <c r="M171" s="18">
        <v>765</v>
      </c>
      <c r="N171" s="18">
        <v>1</v>
      </c>
      <c r="O171" s="1" t="s">
        <v>1115</v>
      </c>
      <c r="P171" s="1" t="s">
        <v>1116</v>
      </c>
      <c r="Q171" s="1" t="s">
        <v>1117</v>
      </c>
      <c r="R171" s="18">
        <v>14213833.36</v>
      </c>
      <c r="S171" s="18">
        <v>14213841</v>
      </c>
      <c r="T171" s="18">
        <v>14213848.68</v>
      </c>
      <c r="U171" s="18"/>
      <c r="V171" s="18"/>
      <c r="W171" s="18"/>
      <c r="X171" s="18"/>
      <c r="AA171" s="1" t="s">
        <v>1115</v>
      </c>
      <c r="AB171" s="18"/>
      <c r="AC171" s="18">
        <v>14213833.36</v>
      </c>
      <c r="AD171" s="18"/>
      <c r="AE171" s="16">
        <v>0.03</v>
      </c>
      <c r="AF171" s="18"/>
      <c r="AG171" s="18">
        <v>0.3</v>
      </c>
      <c r="AL171" s="32" t="s">
        <v>1118</v>
      </c>
      <c r="AM171" s="33" t="s">
        <v>1119</v>
      </c>
      <c r="AN171" s="1"/>
      <c r="AO171" s="33" t="s">
        <v>1120</v>
      </c>
    </row>
    <row r="172" s="1" customFormat="1" ht="168" hidden="1" spans="1:41">
      <c r="A172" s="18">
        <v>16</v>
      </c>
      <c r="B172" s="5">
        <v>45614</v>
      </c>
      <c r="C172" s="18" t="s">
        <v>1014</v>
      </c>
      <c r="D172" s="1" t="s">
        <v>838</v>
      </c>
      <c r="E172" s="1" t="s">
        <v>1121</v>
      </c>
      <c r="F172" s="1">
        <v>19156134.48</v>
      </c>
      <c r="G172" s="1"/>
      <c r="H172" s="1" t="s">
        <v>1122</v>
      </c>
      <c r="I172" s="1" t="s">
        <v>849</v>
      </c>
      <c r="J172" s="1" t="s">
        <v>46</v>
      </c>
      <c r="K172" s="1" t="s">
        <v>47</v>
      </c>
      <c r="L172" s="1" t="s">
        <v>1025</v>
      </c>
      <c r="M172" s="1">
        <v>233</v>
      </c>
      <c r="N172" s="1">
        <v>1</v>
      </c>
      <c r="O172" s="1" t="s">
        <v>1123</v>
      </c>
      <c r="P172" s="1" t="s">
        <v>1124</v>
      </c>
      <c r="Q172" s="1" t="s">
        <v>1125</v>
      </c>
      <c r="R172" s="1">
        <v>18218549.55</v>
      </c>
      <c r="S172" s="1">
        <v>18218560.04</v>
      </c>
      <c r="T172" s="1">
        <v>18218570.2</v>
      </c>
      <c r="U172" s="1"/>
      <c r="V172" s="1"/>
      <c r="W172" s="1"/>
      <c r="X172" s="1"/>
      <c r="AA172" s="1" t="s">
        <v>1123</v>
      </c>
      <c r="AB172" s="1"/>
      <c r="AC172" s="1">
        <v>18218549.55</v>
      </c>
      <c r="AD172" s="1"/>
      <c r="AE172" s="14">
        <f t="shared" ref="AE172:AE182" si="12">(1-AC172/F172)</f>
        <v>0.0489443698037768</v>
      </c>
      <c r="AG172" s="1">
        <v>0.4</v>
      </c>
      <c r="AL172" s="32" t="s">
        <v>1126</v>
      </c>
      <c r="AM172" s="32" t="s">
        <v>1127</v>
      </c>
      <c r="AN172" s="1"/>
      <c r="AO172" s="32" t="s">
        <v>1128</v>
      </c>
    </row>
    <row r="173" s="1" customFormat="1" ht="152" hidden="1" spans="1:41">
      <c r="A173" s="18">
        <v>17</v>
      </c>
      <c r="B173" s="5">
        <v>45609</v>
      </c>
      <c r="C173" s="18" t="s">
        <v>1014</v>
      </c>
      <c r="D173" s="1" t="s">
        <v>838</v>
      </c>
      <c r="E173" s="1" t="s">
        <v>1129</v>
      </c>
      <c r="F173" s="1">
        <v>11196981.33</v>
      </c>
      <c r="G173" s="1"/>
      <c r="H173" s="1" t="s">
        <v>1122</v>
      </c>
      <c r="I173" s="1" t="s">
        <v>441</v>
      </c>
      <c r="J173" s="1" t="s">
        <v>46</v>
      </c>
      <c r="K173" s="1" t="s">
        <v>47</v>
      </c>
      <c r="L173" s="1" t="s">
        <v>1055</v>
      </c>
      <c r="M173" s="1">
        <v>600</v>
      </c>
      <c r="N173" s="1">
        <v>1</v>
      </c>
      <c r="O173" s="1" t="s">
        <v>1130</v>
      </c>
      <c r="P173" s="1" t="s">
        <v>1018</v>
      </c>
      <c r="Q173" s="1" t="s">
        <v>1131</v>
      </c>
      <c r="R173" s="1">
        <v>10649843.15</v>
      </c>
      <c r="S173" s="1">
        <v>10649855.55</v>
      </c>
      <c r="T173" s="1">
        <v>10649862.52</v>
      </c>
      <c r="U173" s="1"/>
      <c r="V173" s="1"/>
      <c r="W173" s="1"/>
      <c r="X173" s="1"/>
      <c r="AA173" s="1" t="s">
        <v>1130</v>
      </c>
      <c r="AB173" s="1"/>
      <c r="AC173" s="1">
        <v>10649843.15</v>
      </c>
      <c r="AD173" s="1"/>
      <c r="AE173" s="14">
        <f t="shared" si="12"/>
        <v>0.0488647934541121</v>
      </c>
      <c r="AG173" s="1">
        <v>0.3</v>
      </c>
      <c r="AL173" s="32" t="s">
        <v>1132</v>
      </c>
      <c r="AM173" s="32" t="s">
        <v>1133</v>
      </c>
      <c r="AN173" s="1"/>
      <c r="AO173" s="33" t="s">
        <v>1134</v>
      </c>
    </row>
    <row r="174" s="1" customFormat="1" ht="152" hidden="1" spans="1:41">
      <c r="A174" s="18">
        <v>18</v>
      </c>
      <c r="B174" s="5">
        <v>45609</v>
      </c>
      <c r="C174" s="18" t="s">
        <v>1014</v>
      </c>
      <c r="D174" s="1" t="s">
        <v>838</v>
      </c>
      <c r="E174" s="1" t="s">
        <v>1135</v>
      </c>
      <c r="F174" s="1">
        <v>18204349.31</v>
      </c>
      <c r="G174" s="1"/>
      <c r="H174" s="1" t="s">
        <v>1122</v>
      </c>
      <c r="I174" s="1" t="s">
        <v>659</v>
      </c>
      <c r="J174" s="1" t="s">
        <v>46</v>
      </c>
      <c r="K174" s="1" t="s">
        <v>47</v>
      </c>
      <c r="L174" s="1" t="s">
        <v>1055</v>
      </c>
      <c r="M174" s="1">
        <v>749</v>
      </c>
      <c r="N174" s="1">
        <v>0</v>
      </c>
      <c r="O174" s="1" t="s">
        <v>1136</v>
      </c>
      <c r="P174" s="1" t="s">
        <v>1137</v>
      </c>
      <c r="Q174" s="1" t="s">
        <v>1138</v>
      </c>
      <c r="R174" s="1">
        <v>17306342.88</v>
      </c>
      <c r="S174" s="1">
        <v>17306353.3</v>
      </c>
      <c r="T174" s="1">
        <v>17306359</v>
      </c>
      <c r="U174" s="1"/>
      <c r="V174" s="1"/>
      <c r="W174" s="1"/>
      <c r="X174" s="1"/>
      <c r="AA174" s="1" t="s">
        <v>1136</v>
      </c>
      <c r="AB174" s="1"/>
      <c r="AC174" s="1">
        <v>17306342.88</v>
      </c>
      <c r="AD174" s="1"/>
      <c r="AE174" s="14">
        <f t="shared" si="12"/>
        <v>0.049329224280854</v>
      </c>
      <c r="AG174" s="1">
        <v>0.1</v>
      </c>
      <c r="AL174" s="32" t="s">
        <v>1139</v>
      </c>
      <c r="AM174" s="32" t="s">
        <v>1140</v>
      </c>
      <c r="AN174" s="1"/>
      <c r="AO174" s="33" t="s">
        <v>1141</v>
      </c>
    </row>
    <row r="175" s="1" customFormat="1" ht="152" hidden="1" spans="1:41">
      <c r="A175" s="18">
        <v>19</v>
      </c>
      <c r="B175" s="5">
        <v>45608</v>
      </c>
      <c r="C175" s="18" t="s">
        <v>1014</v>
      </c>
      <c r="D175" s="1" t="s">
        <v>838</v>
      </c>
      <c r="E175" s="1" t="s">
        <v>1142</v>
      </c>
      <c r="F175" s="1">
        <v>13211372.26</v>
      </c>
      <c r="G175" s="1"/>
      <c r="H175" s="1" t="s">
        <v>1122</v>
      </c>
      <c r="I175" s="1" t="s">
        <v>851</v>
      </c>
      <c r="J175" s="1" t="s">
        <v>46</v>
      </c>
      <c r="K175" s="1" t="s">
        <v>47</v>
      </c>
      <c r="L175" s="1" t="s">
        <v>1055</v>
      </c>
      <c r="M175" s="1">
        <v>689</v>
      </c>
      <c r="N175" s="1">
        <v>5</v>
      </c>
      <c r="O175" s="1" t="s">
        <v>1143</v>
      </c>
      <c r="P175" s="1" t="s">
        <v>1144</v>
      </c>
      <c r="Q175" s="1" t="s">
        <v>1145</v>
      </c>
      <c r="R175" s="1">
        <v>12558869.69</v>
      </c>
      <c r="S175" s="1">
        <v>12558917.43</v>
      </c>
      <c r="T175" s="9">
        <v>12558975</v>
      </c>
      <c r="U175" s="1"/>
      <c r="V175" s="1"/>
      <c r="W175" s="1"/>
      <c r="X175" s="1"/>
      <c r="AA175" s="1" t="s">
        <v>1143</v>
      </c>
      <c r="AB175" s="1"/>
      <c r="AC175" s="1">
        <v>12558869.69</v>
      </c>
      <c r="AD175" s="1"/>
      <c r="AE175" s="14">
        <f t="shared" si="12"/>
        <v>0.0493894621360098</v>
      </c>
      <c r="AG175" s="1">
        <v>0.3</v>
      </c>
      <c r="AL175" s="32" t="s">
        <v>1146</v>
      </c>
      <c r="AM175" s="32" t="s">
        <v>1147</v>
      </c>
      <c r="AN175" s="1"/>
      <c r="AO175" s="33" t="s">
        <v>1148</v>
      </c>
    </row>
    <row r="176" s="1" customFormat="1" ht="152" hidden="1" spans="1:41">
      <c r="A176" s="18">
        <v>20</v>
      </c>
      <c r="B176" s="5">
        <v>45602</v>
      </c>
      <c r="C176" s="18" t="s">
        <v>1014</v>
      </c>
      <c r="D176" s="1" t="s">
        <v>838</v>
      </c>
      <c r="E176" s="1" t="s">
        <v>1149</v>
      </c>
      <c r="F176" s="1">
        <v>10190964.12</v>
      </c>
      <c r="G176" s="1"/>
      <c r="H176" s="1" t="s">
        <v>1122</v>
      </c>
      <c r="I176" s="1" t="s">
        <v>1150</v>
      </c>
      <c r="J176" s="1" t="s">
        <v>46</v>
      </c>
      <c r="K176" s="1" t="s">
        <v>47</v>
      </c>
      <c r="L176" s="1" t="s">
        <v>1055</v>
      </c>
      <c r="M176" s="1">
        <v>500</v>
      </c>
      <c r="N176" s="1">
        <v>6</v>
      </c>
      <c r="O176" s="1" t="s">
        <v>1151</v>
      </c>
      <c r="P176" s="1" t="s">
        <v>1152</v>
      </c>
      <c r="Q176" s="1" t="s">
        <v>1153</v>
      </c>
      <c r="R176" s="1">
        <v>9692421.57</v>
      </c>
      <c r="S176" s="1">
        <v>9692432.39</v>
      </c>
      <c r="T176" s="1">
        <v>9692452.73</v>
      </c>
      <c r="U176" s="1"/>
      <c r="V176" s="1"/>
      <c r="W176" s="1"/>
      <c r="X176" s="1"/>
      <c r="AA176" s="1" t="s">
        <v>1151</v>
      </c>
      <c r="AB176" s="1"/>
      <c r="AC176" s="1">
        <v>9692421.57</v>
      </c>
      <c r="AD176" s="1"/>
      <c r="AE176" s="14">
        <f t="shared" si="12"/>
        <v>0.0489200574282856</v>
      </c>
      <c r="AG176" s="1">
        <v>0.3</v>
      </c>
      <c r="AL176" s="32" t="s">
        <v>1154</v>
      </c>
      <c r="AM176" s="32" t="s">
        <v>1155</v>
      </c>
      <c r="AN176" s="1"/>
      <c r="AO176" s="33" t="s">
        <v>1156</v>
      </c>
    </row>
    <row r="177" s="1" customFormat="1" ht="185" hidden="1" spans="1:41">
      <c r="A177" s="18">
        <v>21</v>
      </c>
      <c r="B177" s="5">
        <v>45602</v>
      </c>
      <c r="C177" s="18" t="s">
        <v>1014</v>
      </c>
      <c r="D177" s="1" t="s">
        <v>838</v>
      </c>
      <c r="E177" s="1" t="s">
        <v>1157</v>
      </c>
      <c r="F177" s="1">
        <v>11734808.63</v>
      </c>
      <c r="G177" s="1"/>
      <c r="H177" s="1" t="s">
        <v>1122</v>
      </c>
      <c r="I177" s="1" t="s">
        <v>1158</v>
      </c>
      <c r="J177" s="1" t="s">
        <v>46</v>
      </c>
      <c r="K177" s="1" t="s">
        <v>47</v>
      </c>
      <c r="L177" s="1" t="s">
        <v>1055</v>
      </c>
      <c r="M177" s="1">
        <v>461</v>
      </c>
      <c r="N177" s="1">
        <v>1</v>
      </c>
      <c r="O177" s="1" t="s">
        <v>1159</v>
      </c>
      <c r="P177" s="1" t="s">
        <v>1160</v>
      </c>
      <c r="Q177" s="1" t="s">
        <v>1161</v>
      </c>
      <c r="R177" s="9">
        <v>11154350</v>
      </c>
      <c r="S177" s="1">
        <v>11154387.38</v>
      </c>
      <c r="T177" s="1">
        <v>11154511.32</v>
      </c>
      <c r="U177" s="1"/>
      <c r="V177" s="1"/>
      <c r="W177" s="1"/>
      <c r="X177" s="1"/>
      <c r="AA177" s="1" t="s">
        <v>1159</v>
      </c>
      <c r="AB177" s="1"/>
      <c r="AC177" s="9">
        <v>11154350</v>
      </c>
      <c r="AD177" s="1"/>
      <c r="AE177" s="14">
        <f t="shared" si="12"/>
        <v>0.0494646864982579</v>
      </c>
      <c r="AG177" s="1">
        <v>0.1</v>
      </c>
      <c r="AL177" s="32" t="s">
        <v>1162</v>
      </c>
      <c r="AM177" s="32" t="s">
        <v>1163</v>
      </c>
      <c r="AN177" s="1"/>
      <c r="AO177" s="33" t="s">
        <v>1164</v>
      </c>
    </row>
    <row r="178" s="1" customFormat="1" ht="168" hidden="1" spans="1:41">
      <c r="A178" s="18">
        <v>22</v>
      </c>
      <c r="B178" s="5">
        <v>45602</v>
      </c>
      <c r="C178" s="18" t="s">
        <v>1014</v>
      </c>
      <c r="D178" s="1" t="s">
        <v>838</v>
      </c>
      <c r="E178" s="1" t="s">
        <v>1165</v>
      </c>
      <c r="F178" s="1">
        <v>30842022.67</v>
      </c>
      <c r="G178" s="1"/>
      <c r="H178" s="1" t="s">
        <v>1122</v>
      </c>
      <c r="I178" s="1" t="s">
        <v>1166</v>
      </c>
      <c r="J178" s="1" t="s">
        <v>46</v>
      </c>
      <c r="K178" s="1" t="s">
        <v>47</v>
      </c>
      <c r="L178" s="1" t="s">
        <v>1025</v>
      </c>
      <c r="M178" s="1">
        <v>144</v>
      </c>
      <c r="N178" s="1">
        <v>5</v>
      </c>
      <c r="O178" s="1" t="s">
        <v>1167</v>
      </c>
      <c r="P178" s="1" t="s">
        <v>1168</v>
      </c>
      <c r="Q178" s="1" t="s">
        <v>1169</v>
      </c>
      <c r="R178" s="1">
        <v>29335106.02</v>
      </c>
      <c r="S178" s="1">
        <v>29335464.73</v>
      </c>
      <c r="T178" s="1">
        <v>29335506.1</v>
      </c>
      <c r="U178" s="1"/>
      <c r="V178" s="1"/>
      <c r="W178" s="1"/>
      <c r="X178" s="1"/>
      <c r="AA178" s="1" t="s">
        <v>1167</v>
      </c>
      <c r="AB178" s="1"/>
      <c r="AC178" s="1">
        <v>29335106.02</v>
      </c>
      <c r="AD178" s="1"/>
      <c r="AE178" s="14">
        <f t="shared" si="12"/>
        <v>0.0488592031114022</v>
      </c>
      <c r="AG178" s="1">
        <v>0.4</v>
      </c>
      <c r="AL178" s="32" t="s">
        <v>1170</v>
      </c>
      <c r="AM178" s="32" t="s">
        <v>1171</v>
      </c>
      <c r="AN178" s="1"/>
      <c r="AO178" s="33" t="s">
        <v>1172</v>
      </c>
    </row>
    <row r="179" s="1" customFormat="1" ht="135" hidden="1" spans="1:41">
      <c r="A179" s="18">
        <v>23</v>
      </c>
      <c r="B179" s="5">
        <v>45602</v>
      </c>
      <c r="C179" s="18" t="s">
        <v>1014</v>
      </c>
      <c r="D179" s="1" t="s">
        <v>838</v>
      </c>
      <c r="E179" s="1" t="s">
        <v>1173</v>
      </c>
      <c r="F179" s="1">
        <v>12076073.92</v>
      </c>
      <c r="G179" s="1"/>
      <c r="H179" s="1" t="s">
        <v>1122</v>
      </c>
      <c r="I179" s="1" t="s">
        <v>555</v>
      </c>
      <c r="J179" s="1" t="s">
        <v>46</v>
      </c>
      <c r="K179" s="1" t="s">
        <v>47</v>
      </c>
      <c r="L179" s="1" t="s">
        <v>1055</v>
      </c>
      <c r="M179" s="1">
        <v>502</v>
      </c>
      <c r="N179" s="1">
        <v>1</v>
      </c>
      <c r="O179" s="1" t="s">
        <v>1174</v>
      </c>
      <c r="P179" s="1" t="s">
        <v>1138</v>
      </c>
      <c r="Q179" s="1" t="s">
        <v>1175</v>
      </c>
      <c r="R179" s="1">
        <v>11481503.51</v>
      </c>
      <c r="S179" s="9">
        <v>11481522</v>
      </c>
      <c r="T179" s="1">
        <v>11481549.89</v>
      </c>
      <c r="U179" s="1"/>
      <c r="V179" s="1"/>
      <c r="W179" s="1"/>
      <c r="X179" s="1"/>
      <c r="AA179" s="1" t="s">
        <v>1174</v>
      </c>
      <c r="AB179" s="1"/>
      <c r="AC179" s="1">
        <v>11481503.51</v>
      </c>
      <c r="AD179" s="1"/>
      <c r="AE179" s="14">
        <f t="shared" si="12"/>
        <v>0.0492354066345431</v>
      </c>
      <c r="AG179" s="1">
        <v>0.2</v>
      </c>
      <c r="AL179" s="32" t="s">
        <v>1176</v>
      </c>
      <c r="AM179" s="32" t="s">
        <v>1177</v>
      </c>
      <c r="AN179" s="1"/>
      <c r="AO179" s="33" t="s">
        <v>1178</v>
      </c>
    </row>
    <row r="180" s="1" customFormat="1" ht="168" hidden="1" spans="1:41">
      <c r="A180" s="18">
        <v>24</v>
      </c>
      <c r="B180" s="5">
        <v>45601</v>
      </c>
      <c r="C180" s="18" t="s">
        <v>1014</v>
      </c>
      <c r="D180" s="1" t="s">
        <v>838</v>
      </c>
      <c r="E180" s="1" t="s">
        <v>1179</v>
      </c>
      <c r="F180" s="1">
        <v>20043434.01</v>
      </c>
      <c r="G180" s="1"/>
      <c r="H180" s="1" t="s">
        <v>1122</v>
      </c>
      <c r="I180" s="1" t="s">
        <v>80</v>
      </c>
      <c r="J180" s="1" t="s">
        <v>46</v>
      </c>
      <c r="K180" s="1" t="s">
        <v>47</v>
      </c>
      <c r="L180" s="1" t="s">
        <v>1025</v>
      </c>
      <c r="M180" s="1">
        <v>164</v>
      </c>
      <c r="N180" s="1">
        <v>1</v>
      </c>
      <c r="O180" s="1" t="s">
        <v>1180</v>
      </c>
      <c r="P180" s="1" t="s">
        <v>1181</v>
      </c>
      <c r="Q180" s="1" t="s">
        <v>1182</v>
      </c>
      <c r="R180" s="1">
        <v>19077697.68</v>
      </c>
      <c r="S180" s="1">
        <v>19077741.59</v>
      </c>
      <c r="T180" s="1">
        <v>19077753.05</v>
      </c>
      <c r="U180" s="1"/>
      <c r="V180" s="1"/>
      <c r="W180" s="1"/>
      <c r="X180" s="1"/>
      <c r="AA180" s="1" t="s">
        <v>1180</v>
      </c>
      <c r="AB180" s="1"/>
      <c r="AC180" s="1">
        <v>19077697.68</v>
      </c>
      <c r="AD180" s="1"/>
      <c r="AE180" s="14">
        <f t="shared" si="12"/>
        <v>0.0481821792372594</v>
      </c>
      <c r="AG180" s="1">
        <v>0.4</v>
      </c>
      <c r="AL180" s="32" t="s">
        <v>1183</v>
      </c>
      <c r="AM180" s="32" t="s">
        <v>1184</v>
      </c>
      <c r="AN180" s="1"/>
      <c r="AO180" s="33" t="s">
        <v>1185</v>
      </c>
    </row>
    <row r="181" s="1" customFormat="1" ht="152" spans="1:42">
      <c r="A181" s="36">
        <v>25</v>
      </c>
      <c r="B181" s="37">
        <v>45601</v>
      </c>
      <c r="C181" s="38" t="s">
        <v>1014</v>
      </c>
      <c r="D181" s="4" t="s">
        <v>268</v>
      </c>
      <c r="E181" s="4" t="s">
        <v>1186</v>
      </c>
      <c r="F181" s="39">
        <v>24865121.19</v>
      </c>
      <c r="G181" s="39"/>
      <c r="H181" s="4" t="s">
        <v>1187</v>
      </c>
      <c r="I181" s="4" t="s">
        <v>1188</v>
      </c>
      <c r="J181" s="4" t="s">
        <v>46</v>
      </c>
      <c r="K181" s="4" t="s">
        <v>47</v>
      </c>
      <c r="L181" s="4" t="s">
        <v>161</v>
      </c>
      <c r="M181" s="39">
        <v>781</v>
      </c>
      <c r="N181" s="39">
        <v>1</v>
      </c>
      <c r="O181" s="4" t="s">
        <v>1189</v>
      </c>
      <c r="P181" s="4" t="s">
        <v>1190</v>
      </c>
      <c r="Q181" s="4" t="s">
        <v>1191</v>
      </c>
      <c r="R181" s="39">
        <v>23635086.35</v>
      </c>
      <c r="S181" s="39">
        <v>23635112.36</v>
      </c>
      <c r="T181" s="41">
        <v>23635140.4</v>
      </c>
      <c r="U181" s="39"/>
      <c r="V181" s="39"/>
      <c r="W181" s="39"/>
      <c r="X181" s="39"/>
      <c r="Y181" s="39"/>
      <c r="Z181" s="39"/>
      <c r="AA181" s="4" t="s">
        <v>1189</v>
      </c>
      <c r="AB181" s="39"/>
      <c r="AC181" s="39">
        <v>23635086.35</v>
      </c>
      <c r="AD181" s="39"/>
      <c r="AE181" s="42">
        <f t="shared" si="12"/>
        <v>0.0494682825231788</v>
      </c>
      <c r="AF181" s="39"/>
      <c r="AG181" s="39">
        <v>0.2</v>
      </c>
      <c r="AH181" s="39"/>
      <c r="AI181" s="39"/>
      <c r="AJ181" s="39"/>
      <c r="AK181" s="39"/>
      <c r="AL181" s="45" t="s">
        <v>1192</v>
      </c>
      <c r="AM181" s="45" t="s">
        <v>1193</v>
      </c>
      <c r="AN181" s="39"/>
      <c r="AO181" s="45" t="s">
        <v>1194</v>
      </c>
      <c r="AP181" s="39"/>
    </row>
    <row r="182" s="18" customFormat="1" ht="135" spans="1:41">
      <c r="A182" s="18">
        <v>26</v>
      </c>
      <c r="B182" s="17">
        <v>45601</v>
      </c>
      <c r="C182" s="18" t="s">
        <v>1014</v>
      </c>
      <c r="D182" s="18" t="s">
        <v>268</v>
      </c>
      <c r="E182" s="1" t="s">
        <v>1195</v>
      </c>
      <c r="F182" s="18">
        <v>23288730.73</v>
      </c>
      <c r="G182" s="18"/>
      <c r="H182" s="1" t="s">
        <v>1187</v>
      </c>
      <c r="I182" s="1" t="s">
        <v>1196</v>
      </c>
      <c r="J182" s="1" t="s">
        <v>46</v>
      </c>
      <c r="K182" s="18" t="s">
        <v>47</v>
      </c>
      <c r="L182" s="1" t="s">
        <v>1025</v>
      </c>
      <c r="M182" s="18">
        <v>776</v>
      </c>
      <c r="N182" s="18">
        <v>0</v>
      </c>
      <c r="O182" s="1" t="s">
        <v>1197</v>
      </c>
      <c r="P182" s="1" t="s">
        <v>1198</v>
      </c>
      <c r="Q182" s="1" t="s">
        <v>1199</v>
      </c>
      <c r="R182" s="18">
        <v>22135745.02</v>
      </c>
      <c r="S182" s="18">
        <v>22135752.6</v>
      </c>
      <c r="T182" s="18">
        <v>22135761.55</v>
      </c>
      <c r="U182" s="18"/>
      <c r="V182" s="18"/>
      <c r="W182" s="18"/>
      <c r="X182" s="18"/>
      <c r="AA182" s="1" t="s">
        <v>1197</v>
      </c>
      <c r="AB182" s="18"/>
      <c r="AC182" s="18">
        <v>22135745.02</v>
      </c>
      <c r="AD182" s="18"/>
      <c r="AE182" s="14">
        <f t="shared" si="12"/>
        <v>0.0495083104084652</v>
      </c>
      <c r="AG182" s="18">
        <v>0.2</v>
      </c>
      <c r="AL182" s="33" t="s">
        <v>1200</v>
      </c>
      <c r="AM182" s="33" t="s">
        <v>1201</v>
      </c>
      <c r="AN182" s="1"/>
      <c r="AO182" s="33" t="s">
        <v>1202</v>
      </c>
    </row>
    <row r="183" s="18" customFormat="1" ht="152" hidden="1" spans="1:41">
      <c r="A183" s="18">
        <v>27</v>
      </c>
      <c r="B183" s="17">
        <v>45600</v>
      </c>
      <c r="C183" s="18" t="s">
        <v>1014</v>
      </c>
      <c r="D183" s="18" t="s">
        <v>838</v>
      </c>
      <c r="E183" s="1" t="s">
        <v>1203</v>
      </c>
      <c r="F183" s="18">
        <v>14944815.26</v>
      </c>
      <c r="G183" s="18"/>
      <c r="H183" s="1" t="s">
        <v>1204</v>
      </c>
      <c r="I183" s="1" t="s">
        <v>1205</v>
      </c>
      <c r="J183" s="1" t="s">
        <v>46</v>
      </c>
      <c r="K183" s="18" t="s">
        <v>47</v>
      </c>
      <c r="L183" s="1" t="s">
        <v>1055</v>
      </c>
      <c r="M183" s="18">
        <v>514</v>
      </c>
      <c r="N183" s="18">
        <v>1</v>
      </c>
      <c r="O183" s="1" t="s">
        <v>1206</v>
      </c>
      <c r="P183" s="1" t="s">
        <v>1207</v>
      </c>
      <c r="Q183" s="1" t="s">
        <v>1198</v>
      </c>
      <c r="R183" s="18">
        <v>14197910.75</v>
      </c>
      <c r="S183" s="18">
        <v>14198057.35</v>
      </c>
      <c r="T183" s="18">
        <v>14198233.52</v>
      </c>
      <c r="U183" s="18"/>
      <c r="V183" s="18"/>
      <c r="W183" s="18"/>
      <c r="X183" s="18"/>
      <c r="AA183" s="1" t="s">
        <v>1208</v>
      </c>
      <c r="AB183" s="18"/>
      <c r="AC183" s="18">
        <v>14197910.75</v>
      </c>
      <c r="AD183" s="18"/>
      <c r="AE183" s="16">
        <v>0.05</v>
      </c>
      <c r="AF183" s="18"/>
      <c r="AG183" s="18">
        <v>0.1</v>
      </c>
      <c r="AL183" s="33" t="s">
        <v>1209</v>
      </c>
      <c r="AM183" s="33" t="s">
        <v>1210</v>
      </c>
      <c r="AN183" s="1"/>
      <c r="AO183" s="33" t="s">
        <v>1211</v>
      </c>
    </row>
    <row r="184" s="18" customFormat="1" ht="135" spans="1:41">
      <c r="A184" s="18">
        <v>28</v>
      </c>
      <c r="B184" s="17">
        <v>45597</v>
      </c>
      <c r="C184" s="18" t="s">
        <v>1014</v>
      </c>
      <c r="D184" s="18" t="s">
        <v>268</v>
      </c>
      <c r="E184" s="1" t="s">
        <v>1212</v>
      </c>
      <c r="F184" s="18">
        <v>8586072.27</v>
      </c>
      <c r="G184" s="18"/>
      <c r="H184" s="1" t="s">
        <v>1187</v>
      </c>
      <c r="I184" s="1" t="s">
        <v>1188</v>
      </c>
      <c r="J184" s="1" t="s">
        <v>46</v>
      </c>
      <c r="K184" s="18" t="s">
        <v>47</v>
      </c>
      <c r="L184" s="1" t="s">
        <v>161</v>
      </c>
      <c r="M184" s="18">
        <v>794</v>
      </c>
      <c r="N184" s="18">
        <v>0</v>
      </c>
      <c r="O184" s="1" t="s">
        <v>1213</v>
      </c>
      <c r="P184" s="1" t="s">
        <v>1214</v>
      </c>
      <c r="Q184" s="1" t="s">
        <v>1215</v>
      </c>
      <c r="R184" s="18">
        <v>8163007.87</v>
      </c>
      <c r="S184" s="18">
        <v>8163021.61</v>
      </c>
      <c r="T184" s="18">
        <v>8163022.16</v>
      </c>
      <c r="U184" s="18"/>
      <c r="V184" s="18"/>
      <c r="W184" s="18"/>
      <c r="X184" s="18"/>
      <c r="AA184" s="1" t="s">
        <v>1213</v>
      </c>
      <c r="AB184" s="18"/>
      <c r="AC184" s="18">
        <v>8163007.87</v>
      </c>
      <c r="AD184" s="18"/>
      <c r="AE184" s="14">
        <f>(1-AC184/F184)</f>
        <v>0.0492733332187524</v>
      </c>
      <c r="AG184" s="18">
        <v>0.2</v>
      </c>
      <c r="AL184" s="32" t="s">
        <v>1216</v>
      </c>
      <c r="AM184" s="33" t="s">
        <v>1217</v>
      </c>
      <c r="AN184" s="1"/>
      <c r="AO184" s="33" t="s">
        <v>1218</v>
      </c>
    </row>
    <row r="185" s="18" customFormat="1" ht="135" spans="1:41">
      <c r="A185" s="18">
        <v>29</v>
      </c>
      <c r="B185" s="17">
        <v>45597</v>
      </c>
      <c r="C185" s="18" t="s">
        <v>1014</v>
      </c>
      <c r="D185" s="18" t="s">
        <v>268</v>
      </c>
      <c r="E185" s="1" t="s">
        <v>1219</v>
      </c>
      <c r="F185" s="18">
        <v>9007812.41</v>
      </c>
      <c r="G185" s="18"/>
      <c r="H185" s="1" t="s">
        <v>1220</v>
      </c>
      <c r="I185" s="1" t="s">
        <v>441</v>
      </c>
      <c r="J185" s="1" t="s">
        <v>46</v>
      </c>
      <c r="K185" s="18" t="s">
        <v>47</v>
      </c>
      <c r="L185" s="1" t="s">
        <v>1055</v>
      </c>
      <c r="M185" s="18">
        <v>779</v>
      </c>
      <c r="N185" s="18">
        <v>1</v>
      </c>
      <c r="O185" s="1" t="s">
        <v>1221</v>
      </c>
      <c r="P185" s="1" t="s">
        <v>1222</v>
      </c>
      <c r="Q185" s="1" t="s">
        <v>1223</v>
      </c>
      <c r="R185" s="18">
        <v>8561483.11</v>
      </c>
      <c r="S185" s="18">
        <v>8561490</v>
      </c>
      <c r="T185" s="18">
        <v>8561503.63</v>
      </c>
      <c r="U185" s="18"/>
      <c r="V185" s="18"/>
      <c r="W185" s="18"/>
      <c r="X185" s="18"/>
      <c r="AA185" s="1" t="s">
        <v>1221</v>
      </c>
      <c r="AB185" s="18"/>
      <c r="AC185" s="18">
        <v>8561483.11</v>
      </c>
      <c r="AD185" s="18"/>
      <c r="AE185" s="14">
        <f>(1-AC185/F185)</f>
        <v>0.0495491335392941</v>
      </c>
      <c r="AG185" s="18">
        <v>0.3</v>
      </c>
      <c r="AL185" s="32" t="s">
        <v>1224</v>
      </c>
      <c r="AM185" s="33" t="s">
        <v>1225</v>
      </c>
      <c r="AN185" s="1"/>
      <c r="AO185" s="33" t="s">
        <v>1226</v>
      </c>
    </row>
    <row r="186" s="18" customFormat="1" ht="252" hidden="1" spans="1:41">
      <c r="A186" s="18">
        <v>30</v>
      </c>
      <c r="B186" s="17">
        <v>45593</v>
      </c>
      <c r="C186" s="18" t="s">
        <v>1014</v>
      </c>
      <c r="D186" s="18" t="s">
        <v>528</v>
      </c>
      <c r="E186" s="1" t="s">
        <v>1227</v>
      </c>
      <c r="F186" s="18">
        <v>9493989.19</v>
      </c>
      <c r="G186" s="18"/>
      <c r="H186" s="1" t="s">
        <v>1033</v>
      </c>
      <c r="I186" s="1" t="s">
        <v>92</v>
      </c>
      <c r="J186" s="1" t="s">
        <v>46</v>
      </c>
      <c r="K186" s="18" t="s">
        <v>47</v>
      </c>
      <c r="L186" s="1" t="s">
        <v>1055</v>
      </c>
      <c r="M186" s="18">
        <v>669</v>
      </c>
      <c r="N186" s="18">
        <v>0</v>
      </c>
      <c r="O186" s="1" t="s">
        <v>1228</v>
      </c>
      <c r="P186" s="1"/>
      <c r="Q186" s="1"/>
      <c r="R186" s="20">
        <v>9019878</v>
      </c>
      <c r="S186" s="18"/>
      <c r="T186" s="18"/>
      <c r="U186" s="18"/>
      <c r="V186" s="18"/>
      <c r="W186" s="18"/>
      <c r="X186" s="18"/>
      <c r="AA186" s="1" t="s">
        <v>1228</v>
      </c>
      <c r="AB186" s="18"/>
      <c r="AC186" s="20">
        <v>9019878</v>
      </c>
      <c r="AD186" s="18"/>
      <c r="AE186" s="16">
        <v>0.0499</v>
      </c>
      <c r="AF186" s="18"/>
      <c r="AG186" s="18">
        <v>0.2</v>
      </c>
      <c r="AL186" s="33" t="s">
        <v>1229</v>
      </c>
      <c r="AM186" s="33" t="s">
        <v>1230</v>
      </c>
      <c r="AN186" s="1"/>
      <c r="AO186" s="33" t="s">
        <v>1231</v>
      </c>
    </row>
    <row r="187" s="18" customFormat="1" ht="236" hidden="1" spans="1:41">
      <c r="A187" s="18">
        <v>31</v>
      </c>
      <c r="B187" s="17">
        <v>45590</v>
      </c>
      <c r="C187" s="18" t="s">
        <v>1014</v>
      </c>
      <c r="D187" s="18" t="s">
        <v>528</v>
      </c>
      <c r="E187" s="1" t="s">
        <v>1232</v>
      </c>
      <c r="F187" s="18">
        <v>9437205.82</v>
      </c>
      <c r="G187" s="18"/>
      <c r="H187" s="1" t="s">
        <v>1033</v>
      </c>
      <c r="I187" s="1" t="s">
        <v>622</v>
      </c>
      <c r="J187" s="1" t="s">
        <v>46</v>
      </c>
      <c r="K187" s="18" t="s">
        <v>47</v>
      </c>
      <c r="L187" s="1" t="s">
        <v>1055</v>
      </c>
      <c r="M187" s="18">
        <v>605</v>
      </c>
      <c r="N187" s="18">
        <v>0</v>
      </c>
      <c r="O187" s="1" t="s">
        <v>1233</v>
      </c>
      <c r="P187" s="1"/>
      <c r="Q187" s="1"/>
      <c r="R187" s="20">
        <v>8964535</v>
      </c>
      <c r="S187" s="18"/>
      <c r="T187" s="18"/>
      <c r="U187" s="18"/>
      <c r="V187" s="18"/>
      <c r="W187" s="18"/>
      <c r="X187" s="18"/>
      <c r="AA187" s="1" t="s">
        <v>1233</v>
      </c>
      <c r="AB187" s="18"/>
      <c r="AC187" s="20">
        <v>8964535</v>
      </c>
      <c r="AD187" s="18"/>
      <c r="AE187" s="16">
        <v>0.0501</v>
      </c>
      <c r="AF187" s="18"/>
      <c r="AG187" s="18">
        <v>0.2</v>
      </c>
      <c r="AL187" s="33" t="s">
        <v>1234</v>
      </c>
      <c r="AM187" s="33" t="s">
        <v>1235</v>
      </c>
      <c r="AN187" s="1"/>
      <c r="AO187" s="33" t="s">
        <v>1236</v>
      </c>
    </row>
    <row r="188" s="1" customFormat="1" ht="219" hidden="1" spans="1:41">
      <c r="A188" s="18">
        <v>32</v>
      </c>
      <c r="B188" s="5">
        <v>45589</v>
      </c>
      <c r="C188" s="1" t="s">
        <v>1014</v>
      </c>
      <c r="D188" s="1" t="s">
        <v>528</v>
      </c>
      <c r="E188" s="1" t="s">
        <v>1237</v>
      </c>
      <c r="F188" s="9">
        <v>20715124.84</v>
      </c>
      <c r="G188" s="1"/>
      <c r="H188" s="1" t="s">
        <v>1033</v>
      </c>
      <c r="I188" s="1" t="s">
        <v>1238</v>
      </c>
      <c r="J188" s="1" t="s">
        <v>46</v>
      </c>
      <c r="K188" s="1" t="s">
        <v>47</v>
      </c>
      <c r="L188" s="1" t="s">
        <v>1025</v>
      </c>
      <c r="M188" s="1">
        <v>100</v>
      </c>
      <c r="N188" s="1">
        <v>1</v>
      </c>
      <c r="O188" s="1" t="s">
        <v>1239</v>
      </c>
      <c r="P188" s="1"/>
      <c r="Q188" s="1"/>
      <c r="R188" s="1">
        <v>19680596.8</v>
      </c>
      <c r="S188" s="1"/>
      <c r="T188" s="1"/>
      <c r="U188" s="1"/>
      <c r="V188" s="1"/>
      <c r="W188" s="1"/>
      <c r="X188" s="1"/>
      <c r="AA188" s="1" t="s">
        <v>1239</v>
      </c>
      <c r="AB188" s="1"/>
      <c r="AC188" s="1">
        <v>19680596.8</v>
      </c>
      <c r="AD188" s="1"/>
      <c r="AE188" s="14">
        <f t="shared" ref="AE188:AE192" si="13">(1-AC188/F188)</f>
        <v>0.0499407098914688</v>
      </c>
      <c r="AG188" s="1">
        <v>0.4</v>
      </c>
      <c r="AH188" s="1"/>
      <c r="AI188" s="1"/>
      <c r="AJ188" s="1"/>
      <c r="AK188" s="1"/>
      <c r="AL188" s="33" t="s">
        <v>1020</v>
      </c>
      <c r="AM188" s="33" t="s">
        <v>53</v>
      </c>
      <c r="AN188" s="1"/>
      <c r="AO188" s="33" t="s">
        <v>1240</v>
      </c>
    </row>
    <row r="189" s="1" customFormat="1" ht="185" hidden="1" spans="1:41">
      <c r="A189" s="18">
        <v>33</v>
      </c>
      <c r="B189" s="5">
        <v>45589</v>
      </c>
      <c r="C189" s="1" t="s">
        <v>1014</v>
      </c>
      <c r="D189" s="1" t="s">
        <v>838</v>
      </c>
      <c r="E189" s="1" t="s">
        <v>1241</v>
      </c>
      <c r="F189" s="9">
        <v>20155382.85</v>
      </c>
      <c r="G189" s="18"/>
      <c r="H189" s="1" t="s">
        <v>1122</v>
      </c>
      <c r="I189" s="1" t="s">
        <v>1242</v>
      </c>
      <c r="J189" s="1" t="s">
        <v>46</v>
      </c>
      <c r="K189" s="18" t="s">
        <v>47</v>
      </c>
      <c r="L189" s="1" t="s">
        <v>1025</v>
      </c>
      <c r="M189" s="18">
        <v>186</v>
      </c>
      <c r="N189" s="18">
        <v>1</v>
      </c>
      <c r="O189" s="1" t="s">
        <v>1243</v>
      </c>
      <c r="P189" s="1" t="s">
        <v>1244</v>
      </c>
      <c r="Q189" s="1" t="s">
        <v>1245</v>
      </c>
      <c r="R189" s="1">
        <v>19235799.18</v>
      </c>
      <c r="S189" s="1">
        <v>19235885.65</v>
      </c>
      <c r="T189" s="18">
        <v>19235955.97</v>
      </c>
      <c r="U189" s="18"/>
      <c r="V189" s="18"/>
      <c r="W189" s="18"/>
      <c r="X189" s="18"/>
      <c r="Y189" s="18"/>
      <c r="Z189" s="18"/>
      <c r="AA189" s="1" t="s">
        <v>1243</v>
      </c>
      <c r="AB189" s="18"/>
      <c r="AC189" s="1">
        <v>19235799.18</v>
      </c>
      <c r="AD189" s="18"/>
      <c r="AE189" s="14">
        <f t="shared" si="13"/>
        <v>0.0456247185599852</v>
      </c>
      <c r="AF189" s="18"/>
      <c r="AG189" s="18">
        <v>0.4</v>
      </c>
      <c r="AH189" s="18"/>
      <c r="AI189" s="18"/>
      <c r="AJ189" s="18"/>
      <c r="AK189" s="18"/>
      <c r="AL189" s="33" t="s">
        <v>1209</v>
      </c>
      <c r="AM189" s="32" t="s">
        <v>58</v>
      </c>
      <c r="AN189" s="1"/>
      <c r="AO189" s="32" t="s">
        <v>1246</v>
      </c>
    </row>
    <row r="190" s="1" customFormat="1" ht="118" hidden="1" spans="1:41">
      <c r="A190" s="18">
        <v>34</v>
      </c>
      <c r="B190" s="5">
        <v>45589</v>
      </c>
      <c r="C190" s="1" t="s">
        <v>1014</v>
      </c>
      <c r="D190" s="18" t="s">
        <v>399</v>
      </c>
      <c r="E190" s="1" t="s">
        <v>1247</v>
      </c>
      <c r="F190" s="9">
        <v>27203365.55</v>
      </c>
      <c r="G190" s="18"/>
      <c r="H190" s="1" t="s">
        <v>1248</v>
      </c>
      <c r="I190" s="1" t="s">
        <v>1249</v>
      </c>
      <c r="J190" s="1" t="s">
        <v>46</v>
      </c>
      <c r="K190" s="18" t="s">
        <v>47</v>
      </c>
      <c r="L190" s="1" t="s">
        <v>1055</v>
      </c>
      <c r="M190" s="18">
        <v>288</v>
      </c>
      <c r="N190" s="18">
        <v>0</v>
      </c>
      <c r="O190" s="1" t="s">
        <v>1250</v>
      </c>
      <c r="P190" s="18"/>
      <c r="Q190" s="18"/>
      <c r="R190" s="1">
        <v>26371024.17</v>
      </c>
      <c r="S190" s="18"/>
      <c r="T190" s="18"/>
      <c r="U190" s="18"/>
      <c r="V190" s="18"/>
      <c r="W190" s="18"/>
      <c r="X190" s="18"/>
      <c r="Y190" s="18"/>
      <c r="Z190" s="18"/>
      <c r="AA190" s="1" t="s">
        <v>1250</v>
      </c>
      <c r="AB190" s="18"/>
      <c r="AC190" s="1">
        <v>26371024.17</v>
      </c>
      <c r="AD190" s="18"/>
      <c r="AE190" s="14">
        <f t="shared" si="13"/>
        <v>0.0305970001568426</v>
      </c>
      <c r="AF190" s="18"/>
      <c r="AG190" s="18">
        <v>0.3</v>
      </c>
      <c r="AH190" s="18"/>
      <c r="AI190" s="18"/>
      <c r="AJ190" s="18"/>
      <c r="AK190" s="18"/>
      <c r="AL190" s="33" t="s">
        <v>1216</v>
      </c>
      <c r="AM190" s="33" t="s">
        <v>63</v>
      </c>
      <c r="AN190" s="1"/>
      <c r="AO190" s="33" t="s">
        <v>1251</v>
      </c>
    </row>
    <row r="191" s="1" customFormat="1" ht="219" hidden="1" spans="1:41">
      <c r="A191" s="18">
        <v>35</v>
      </c>
      <c r="B191" s="5">
        <v>45589</v>
      </c>
      <c r="C191" s="1" t="s">
        <v>1014</v>
      </c>
      <c r="D191" s="1" t="s">
        <v>528</v>
      </c>
      <c r="E191" s="1" t="s">
        <v>1252</v>
      </c>
      <c r="F191" s="9">
        <v>17557802.99</v>
      </c>
      <c r="G191" s="18"/>
      <c r="H191" s="1" t="s">
        <v>1033</v>
      </c>
      <c r="I191" s="1" t="s">
        <v>1238</v>
      </c>
      <c r="J191" s="1" t="s">
        <v>46</v>
      </c>
      <c r="K191" s="18" t="s">
        <v>47</v>
      </c>
      <c r="L191" s="1" t="s">
        <v>1055</v>
      </c>
      <c r="M191" s="18">
        <v>890</v>
      </c>
      <c r="N191" s="18">
        <v>0</v>
      </c>
      <c r="O191" s="1" t="s">
        <v>1253</v>
      </c>
      <c r="P191" s="18"/>
      <c r="Q191" s="18"/>
      <c r="R191" s="1">
        <v>16675005.37</v>
      </c>
      <c r="S191" s="18"/>
      <c r="T191" s="18"/>
      <c r="U191" s="18"/>
      <c r="V191" s="18"/>
      <c r="W191" s="18"/>
      <c r="X191" s="18"/>
      <c r="Y191" s="18"/>
      <c r="Z191" s="18"/>
      <c r="AA191" s="1" t="s">
        <v>1253</v>
      </c>
      <c r="AB191" s="18"/>
      <c r="AC191" s="1">
        <v>16675005.37</v>
      </c>
      <c r="AD191" s="18"/>
      <c r="AE191" s="14">
        <f t="shared" si="13"/>
        <v>0.0502795036772422</v>
      </c>
      <c r="AF191" s="18"/>
      <c r="AG191" s="18">
        <v>0.1</v>
      </c>
      <c r="AH191" s="18"/>
      <c r="AI191" s="18"/>
      <c r="AJ191" s="18"/>
      <c r="AK191" s="18"/>
      <c r="AL191" s="32" t="s">
        <v>1044</v>
      </c>
      <c r="AM191" s="33" t="s">
        <v>68</v>
      </c>
      <c r="AN191" s="1"/>
      <c r="AO191" s="32" t="s">
        <v>1254</v>
      </c>
    </row>
    <row r="192" s="1" customFormat="1" ht="236" hidden="1" spans="1:41">
      <c r="A192" s="18">
        <v>36</v>
      </c>
      <c r="B192" s="5">
        <v>45589</v>
      </c>
      <c r="C192" s="1" t="s">
        <v>1014</v>
      </c>
      <c r="D192" s="1" t="s">
        <v>528</v>
      </c>
      <c r="E192" s="1" t="s">
        <v>1255</v>
      </c>
      <c r="F192" s="9">
        <v>12431106.93</v>
      </c>
      <c r="G192" s="18"/>
      <c r="H192" s="1" t="s">
        <v>1033</v>
      </c>
      <c r="I192" s="1" t="s">
        <v>622</v>
      </c>
      <c r="J192" s="1" t="s">
        <v>46</v>
      </c>
      <c r="K192" s="18" t="s">
        <v>47</v>
      </c>
      <c r="L192" s="1" t="s">
        <v>1055</v>
      </c>
      <c r="M192" s="18">
        <v>837</v>
      </c>
      <c r="N192" s="18">
        <v>0</v>
      </c>
      <c r="O192" s="1" t="s">
        <v>1256</v>
      </c>
      <c r="P192" s="1" t="s">
        <v>1257</v>
      </c>
      <c r="Q192" s="1" t="s">
        <v>1253</v>
      </c>
      <c r="R192" s="1">
        <v>11808550</v>
      </c>
      <c r="S192" s="1">
        <v>11804826.18</v>
      </c>
      <c r="T192" s="18">
        <v>11809047.1</v>
      </c>
      <c r="U192" s="18"/>
      <c r="V192" s="18"/>
      <c r="W192" s="18"/>
      <c r="X192" s="18"/>
      <c r="Y192" s="18"/>
      <c r="Z192" s="18"/>
      <c r="AA192" s="1" t="s">
        <v>1256</v>
      </c>
      <c r="AB192" s="18"/>
      <c r="AC192" s="1">
        <v>11808550</v>
      </c>
      <c r="AD192" s="18"/>
      <c r="AE192" s="14">
        <f t="shared" si="13"/>
        <v>0.0500805707412574</v>
      </c>
      <c r="AF192" s="18"/>
      <c r="AG192" s="18">
        <v>0.1</v>
      </c>
      <c r="AH192" s="18"/>
      <c r="AI192" s="18"/>
      <c r="AJ192" s="18"/>
      <c r="AK192" s="18"/>
      <c r="AL192" s="33" t="s">
        <v>1258</v>
      </c>
      <c r="AM192" s="33" t="s">
        <v>74</v>
      </c>
      <c r="AN192" s="1"/>
      <c r="AO192" s="33" t="s">
        <v>1259</v>
      </c>
    </row>
    <row r="193" s="1" customFormat="1" ht="236" hidden="1" spans="1:41">
      <c r="A193" s="1">
        <v>1</v>
      </c>
      <c r="B193" s="5">
        <v>45583</v>
      </c>
      <c r="C193" s="1" t="s">
        <v>1014</v>
      </c>
      <c r="D193" s="1" t="s">
        <v>723</v>
      </c>
      <c r="E193" s="1" t="s">
        <v>1260</v>
      </c>
      <c r="F193" s="1">
        <v>3430218.72</v>
      </c>
      <c r="G193" s="1"/>
      <c r="H193" s="1" t="s">
        <v>1261</v>
      </c>
      <c r="I193" s="1" t="s">
        <v>726</v>
      </c>
      <c r="J193" s="1" t="s">
        <v>46</v>
      </c>
      <c r="K193" s="1" t="s">
        <v>47</v>
      </c>
      <c r="L193" s="1" t="s">
        <v>161</v>
      </c>
      <c r="M193" s="1">
        <v>136</v>
      </c>
      <c r="N193" s="1">
        <v>0</v>
      </c>
      <c r="O193" s="1" t="s">
        <v>1262</v>
      </c>
      <c r="P193" s="1" t="s">
        <v>1263</v>
      </c>
      <c r="Q193" s="1" t="s">
        <v>1264</v>
      </c>
      <c r="R193" s="9">
        <v>3247593.7</v>
      </c>
      <c r="S193" s="9">
        <v>3247739</v>
      </c>
      <c r="T193" s="1">
        <v>3246623</v>
      </c>
      <c r="U193" s="1"/>
      <c r="V193" s="1"/>
      <c r="W193" s="1"/>
      <c r="X193" s="1"/>
      <c r="AA193" s="1" t="s">
        <v>1262</v>
      </c>
      <c r="AB193" s="1"/>
      <c r="AC193" s="9">
        <v>3247593.7</v>
      </c>
      <c r="AD193" s="1"/>
      <c r="AE193" s="14">
        <f t="shared" ref="AE193:AE208" si="14">(1-AC193/F193)</f>
        <v>0.053240051118373</v>
      </c>
      <c r="AG193" s="1">
        <v>0.1</v>
      </c>
      <c r="AL193" s="32" t="s">
        <v>1265</v>
      </c>
      <c r="AM193" s="32" t="s">
        <v>1266</v>
      </c>
      <c r="AO193" s="33" t="s">
        <v>1267</v>
      </c>
    </row>
    <row r="194" s="1" customFormat="1" ht="286" hidden="1" spans="1:41">
      <c r="A194" s="1">
        <v>2</v>
      </c>
      <c r="B194" s="5">
        <v>45565</v>
      </c>
      <c r="C194" s="1" t="s">
        <v>1014</v>
      </c>
      <c r="D194" s="1" t="s">
        <v>723</v>
      </c>
      <c r="E194" s="1" t="s">
        <v>1268</v>
      </c>
      <c r="F194" s="1">
        <v>37181178.19</v>
      </c>
      <c r="G194" s="18"/>
      <c r="H194" s="1" t="s">
        <v>1016</v>
      </c>
      <c r="I194" s="1" t="s">
        <v>726</v>
      </c>
      <c r="J194" s="1" t="s">
        <v>46</v>
      </c>
      <c r="K194" s="1" t="s">
        <v>47</v>
      </c>
      <c r="L194" s="1" t="s">
        <v>161</v>
      </c>
      <c r="M194" s="1">
        <v>284</v>
      </c>
      <c r="N194" s="1">
        <v>2</v>
      </c>
      <c r="O194" s="1" t="s">
        <v>1269</v>
      </c>
      <c r="P194" s="1" t="s">
        <v>1270</v>
      </c>
      <c r="Q194" s="1" t="s">
        <v>1271</v>
      </c>
      <c r="R194" s="1">
        <v>35348825.63</v>
      </c>
      <c r="S194" s="1">
        <v>35349197.86</v>
      </c>
      <c r="T194" s="1">
        <v>35349240.18</v>
      </c>
      <c r="U194" s="18"/>
      <c r="V194" s="18"/>
      <c r="W194" s="18"/>
      <c r="X194" s="18"/>
      <c r="Y194" s="18"/>
      <c r="Z194" s="18"/>
      <c r="AA194" s="1" t="s">
        <v>1269</v>
      </c>
      <c r="AB194" s="18"/>
      <c r="AC194" s="1">
        <v>35348825.63</v>
      </c>
      <c r="AD194" s="18"/>
      <c r="AE194" s="14">
        <f t="shared" si="14"/>
        <v>0.0492817239581937</v>
      </c>
      <c r="AF194" s="18"/>
      <c r="AG194" s="1">
        <v>0.2</v>
      </c>
      <c r="AH194" s="18"/>
      <c r="AI194" s="18"/>
      <c r="AJ194" s="18"/>
      <c r="AK194" s="18"/>
      <c r="AL194" s="32" t="s">
        <v>1272</v>
      </c>
      <c r="AM194" s="32" t="s">
        <v>1273</v>
      </c>
      <c r="AO194" s="33" t="s">
        <v>1274</v>
      </c>
    </row>
    <row r="195" s="1" customFormat="1" ht="252" hidden="1" spans="1:41">
      <c r="A195" s="1">
        <v>3</v>
      </c>
      <c r="B195" s="5">
        <v>45564</v>
      </c>
      <c r="C195" s="1" t="s">
        <v>1014</v>
      </c>
      <c r="D195" s="1" t="s">
        <v>723</v>
      </c>
      <c r="E195" s="1" t="s">
        <v>1275</v>
      </c>
      <c r="F195" s="1">
        <v>43130307.42</v>
      </c>
      <c r="G195" s="18"/>
      <c r="H195" s="1" t="s">
        <v>1016</v>
      </c>
      <c r="I195" s="1" t="s">
        <v>726</v>
      </c>
      <c r="J195" s="1" t="s">
        <v>46</v>
      </c>
      <c r="K195" s="1" t="s">
        <v>47</v>
      </c>
      <c r="L195" s="1" t="s">
        <v>161</v>
      </c>
      <c r="M195" s="1">
        <v>289</v>
      </c>
      <c r="N195" s="1">
        <v>0</v>
      </c>
      <c r="O195" s="1" t="s">
        <v>1276</v>
      </c>
      <c r="P195" s="1" t="s">
        <v>1277</v>
      </c>
      <c r="Q195" s="1" t="s">
        <v>1278</v>
      </c>
      <c r="R195" s="1">
        <v>40933215.66</v>
      </c>
      <c r="S195" s="9">
        <v>40933332.4</v>
      </c>
      <c r="T195" s="1">
        <v>40933415.78</v>
      </c>
      <c r="U195" s="18"/>
      <c r="V195" s="18"/>
      <c r="W195" s="18"/>
      <c r="X195" s="18"/>
      <c r="Y195" s="18"/>
      <c r="Z195" s="18"/>
      <c r="AA195" s="1" t="s">
        <v>1276</v>
      </c>
      <c r="AB195" s="18"/>
      <c r="AC195" s="1">
        <v>40933215.66</v>
      </c>
      <c r="AD195" s="18"/>
      <c r="AE195" s="14">
        <f t="shared" si="14"/>
        <v>0.0509407859908086</v>
      </c>
      <c r="AF195" s="18"/>
      <c r="AG195" s="1">
        <v>0.2</v>
      </c>
      <c r="AH195" s="18"/>
      <c r="AI195" s="18"/>
      <c r="AJ195" s="18"/>
      <c r="AK195" s="18"/>
      <c r="AL195" s="32" t="s">
        <v>1279</v>
      </c>
      <c r="AM195" s="32" t="s">
        <v>1280</v>
      </c>
      <c r="AO195" s="33" t="s">
        <v>1281</v>
      </c>
    </row>
    <row r="196" s="1" customFormat="1" ht="252" hidden="1" spans="1:41">
      <c r="A196" s="1">
        <v>4</v>
      </c>
      <c r="B196" s="5">
        <v>45562</v>
      </c>
      <c r="C196" s="1" t="s">
        <v>1014</v>
      </c>
      <c r="D196" s="1" t="s">
        <v>723</v>
      </c>
      <c r="E196" s="1" t="s">
        <v>1282</v>
      </c>
      <c r="F196" s="1">
        <v>51198771.82</v>
      </c>
      <c r="G196" s="18"/>
      <c r="H196" s="1" t="s">
        <v>1016</v>
      </c>
      <c r="I196" s="1" t="s">
        <v>726</v>
      </c>
      <c r="J196" s="1" t="s">
        <v>46</v>
      </c>
      <c r="K196" s="1" t="s">
        <v>47</v>
      </c>
      <c r="L196" s="1" t="s">
        <v>161</v>
      </c>
      <c r="M196" s="1">
        <v>235</v>
      </c>
      <c r="N196" s="1">
        <v>3</v>
      </c>
      <c r="O196" s="1" t="s">
        <v>1283</v>
      </c>
      <c r="P196" s="1" t="s">
        <v>1284</v>
      </c>
      <c r="Q196" s="1" t="s">
        <v>1285</v>
      </c>
      <c r="R196" s="1">
        <v>48596270.7</v>
      </c>
      <c r="S196" s="9">
        <v>48597126.3</v>
      </c>
      <c r="T196" s="1">
        <v>48597800.22</v>
      </c>
      <c r="U196" s="18"/>
      <c r="V196" s="18"/>
      <c r="W196" s="18"/>
      <c r="X196" s="18"/>
      <c r="Y196" s="18"/>
      <c r="Z196" s="18"/>
      <c r="AA196" s="1" t="s">
        <v>1283</v>
      </c>
      <c r="AB196" s="18"/>
      <c r="AC196" s="9">
        <v>48596270.7</v>
      </c>
      <c r="AD196" s="18"/>
      <c r="AE196" s="14">
        <f t="shared" si="14"/>
        <v>0.0508313193361285</v>
      </c>
      <c r="AF196" s="18"/>
      <c r="AG196" s="1">
        <v>0.4</v>
      </c>
      <c r="AH196" s="18"/>
      <c r="AI196" s="18"/>
      <c r="AJ196" s="18"/>
      <c r="AK196" s="18"/>
      <c r="AL196" s="32" t="s">
        <v>1286</v>
      </c>
      <c r="AM196" s="32" t="s">
        <v>1287</v>
      </c>
      <c r="AO196" s="32" t="s">
        <v>1288</v>
      </c>
    </row>
    <row r="197" s="1" customFormat="1" ht="269" hidden="1" spans="1:41">
      <c r="A197" s="1">
        <v>5</v>
      </c>
      <c r="B197" s="5">
        <v>45561</v>
      </c>
      <c r="C197" s="1" t="s">
        <v>1014</v>
      </c>
      <c r="D197" s="1" t="s">
        <v>723</v>
      </c>
      <c r="E197" s="1" t="s">
        <v>1289</v>
      </c>
      <c r="F197" s="1">
        <v>10927463.26</v>
      </c>
      <c r="G197" s="18"/>
      <c r="H197" s="1" t="s">
        <v>1016</v>
      </c>
      <c r="I197" s="1" t="s">
        <v>726</v>
      </c>
      <c r="J197" s="1" t="s">
        <v>46</v>
      </c>
      <c r="K197" s="1" t="s">
        <v>47</v>
      </c>
      <c r="L197" s="1" t="s">
        <v>161</v>
      </c>
      <c r="M197" s="1">
        <v>537</v>
      </c>
      <c r="N197" s="1">
        <v>10</v>
      </c>
      <c r="O197" s="1" t="s">
        <v>1290</v>
      </c>
      <c r="P197" s="1" t="s">
        <v>464</v>
      </c>
      <c r="Q197" s="1" t="s">
        <v>1291</v>
      </c>
      <c r="R197" s="9">
        <v>10342862.7</v>
      </c>
      <c r="S197" s="9">
        <v>10343119</v>
      </c>
      <c r="T197" s="1">
        <v>10343189.04</v>
      </c>
      <c r="U197" s="18"/>
      <c r="V197" s="18"/>
      <c r="W197" s="18"/>
      <c r="X197" s="18"/>
      <c r="Y197" s="18"/>
      <c r="Z197" s="18"/>
      <c r="AA197" s="1" t="s">
        <v>1290</v>
      </c>
      <c r="AB197" s="18"/>
      <c r="AC197" s="9">
        <v>10342862.7</v>
      </c>
      <c r="AD197" s="18"/>
      <c r="AE197" s="14">
        <f t="shared" si="14"/>
        <v>0.0534982864815416</v>
      </c>
      <c r="AF197" s="18"/>
      <c r="AG197" s="1">
        <v>0.2</v>
      </c>
      <c r="AH197" s="18"/>
      <c r="AI197" s="18"/>
      <c r="AJ197" s="18"/>
      <c r="AK197" s="18"/>
      <c r="AL197" s="33" t="s">
        <v>1292</v>
      </c>
      <c r="AM197" s="33" t="s">
        <v>1293</v>
      </c>
      <c r="AO197" s="33" t="s">
        <v>1294</v>
      </c>
    </row>
    <row r="198" s="1" customFormat="1" ht="252" hidden="1" spans="1:41">
      <c r="A198" s="1">
        <v>6</v>
      </c>
      <c r="B198" s="5">
        <v>45559</v>
      </c>
      <c r="C198" s="1" t="s">
        <v>1014</v>
      </c>
      <c r="D198" s="1" t="s">
        <v>723</v>
      </c>
      <c r="E198" s="1" t="s">
        <v>1295</v>
      </c>
      <c r="F198" s="1">
        <v>12589239.75</v>
      </c>
      <c r="G198" s="18"/>
      <c r="H198" s="1" t="s">
        <v>1016</v>
      </c>
      <c r="I198" s="1" t="s">
        <v>726</v>
      </c>
      <c r="J198" s="1" t="s">
        <v>46</v>
      </c>
      <c r="K198" s="1" t="s">
        <v>47</v>
      </c>
      <c r="L198" s="1" t="s">
        <v>161</v>
      </c>
      <c r="M198" s="1">
        <v>521</v>
      </c>
      <c r="N198" s="1">
        <v>15</v>
      </c>
      <c r="O198" s="1" t="s">
        <v>1296</v>
      </c>
      <c r="P198" s="1" t="s">
        <v>1262</v>
      </c>
      <c r="Q198" s="1" t="s">
        <v>1297</v>
      </c>
      <c r="R198" s="9">
        <v>11900508</v>
      </c>
      <c r="S198" s="1">
        <v>11901377.38</v>
      </c>
      <c r="T198" s="1">
        <v>11901778.98</v>
      </c>
      <c r="U198" s="18"/>
      <c r="V198" s="18"/>
      <c r="W198" s="18"/>
      <c r="X198" s="18"/>
      <c r="Y198" s="18"/>
      <c r="Z198" s="18"/>
      <c r="AA198" s="1" t="s">
        <v>1296</v>
      </c>
      <c r="AB198" s="18"/>
      <c r="AC198" s="9">
        <v>11900508</v>
      </c>
      <c r="AD198" s="18"/>
      <c r="AE198" s="14">
        <f t="shared" si="14"/>
        <v>0.0547079699550562</v>
      </c>
      <c r="AF198" s="18"/>
      <c r="AG198" s="1">
        <v>0.2</v>
      </c>
      <c r="AH198" s="18"/>
      <c r="AI198" s="18"/>
      <c r="AJ198" s="18"/>
      <c r="AK198" s="18"/>
      <c r="AL198" s="33" t="s">
        <v>1298</v>
      </c>
      <c r="AM198" s="33" t="s">
        <v>1299</v>
      </c>
      <c r="AO198" s="33" t="s">
        <v>1300</v>
      </c>
    </row>
    <row r="199" s="1" customFormat="1" ht="168" hidden="1" spans="1:41">
      <c r="A199" s="1">
        <v>7</v>
      </c>
      <c r="B199" s="5">
        <v>45455</v>
      </c>
      <c r="C199" s="1" t="s">
        <v>1014</v>
      </c>
      <c r="D199" s="1" t="s">
        <v>723</v>
      </c>
      <c r="E199" s="1" t="s">
        <v>1301</v>
      </c>
      <c r="F199" s="1">
        <v>21453733.08</v>
      </c>
      <c r="G199" s="18"/>
      <c r="H199" s="1" t="s">
        <v>1302</v>
      </c>
      <c r="I199" s="1" t="s">
        <v>726</v>
      </c>
      <c r="J199" s="1" t="s">
        <v>46</v>
      </c>
      <c r="K199" s="1" t="s">
        <v>47</v>
      </c>
      <c r="L199" s="1" t="s">
        <v>161</v>
      </c>
      <c r="M199" s="1">
        <v>45</v>
      </c>
      <c r="N199" s="1">
        <v>0</v>
      </c>
      <c r="O199" s="1" t="s">
        <v>1303</v>
      </c>
      <c r="P199" s="1" t="s">
        <v>1304</v>
      </c>
      <c r="Q199" s="1" t="s">
        <v>1305</v>
      </c>
      <c r="R199" s="1">
        <v>20298012.55</v>
      </c>
      <c r="S199" s="1">
        <v>20295166.58</v>
      </c>
      <c r="T199" s="1">
        <v>20295821.63</v>
      </c>
      <c r="U199" s="18"/>
      <c r="V199" s="18"/>
      <c r="W199" s="18"/>
      <c r="X199" s="18"/>
      <c r="Y199" s="18"/>
      <c r="Z199" s="18"/>
      <c r="AA199" s="1" t="s">
        <v>1303</v>
      </c>
      <c r="AB199" s="18"/>
      <c r="AC199" s="1">
        <v>20298012.55</v>
      </c>
      <c r="AD199" s="18"/>
      <c r="AE199" s="14">
        <f t="shared" si="14"/>
        <v>0.0538703695851145</v>
      </c>
      <c r="AF199" s="18"/>
      <c r="AG199" s="1">
        <v>0.2</v>
      </c>
      <c r="AH199" s="18"/>
      <c r="AI199" s="18"/>
      <c r="AJ199" s="18"/>
      <c r="AK199" s="18"/>
      <c r="AL199" s="33" t="s">
        <v>1306</v>
      </c>
      <c r="AM199" s="33" t="s">
        <v>1307</v>
      </c>
      <c r="AO199" s="33" t="s">
        <v>1308</v>
      </c>
    </row>
    <row r="200" s="1" customFormat="1" ht="168" hidden="1" spans="1:41">
      <c r="A200" s="1">
        <v>8</v>
      </c>
      <c r="B200" s="5">
        <v>45448</v>
      </c>
      <c r="C200" s="1" t="s">
        <v>1014</v>
      </c>
      <c r="D200" s="1" t="s">
        <v>723</v>
      </c>
      <c r="E200" s="1" t="s">
        <v>1309</v>
      </c>
      <c r="F200" s="1">
        <v>43232667.52</v>
      </c>
      <c r="G200" s="18"/>
      <c r="H200" s="1" t="s">
        <v>1302</v>
      </c>
      <c r="I200" s="1" t="s">
        <v>726</v>
      </c>
      <c r="J200" s="1" t="s">
        <v>46</v>
      </c>
      <c r="K200" s="1" t="s">
        <v>47</v>
      </c>
      <c r="L200" s="1" t="s">
        <v>161</v>
      </c>
      <c r="M200" s="1">
        <v>47</v>
      </c>
      <c r="N200" s="1">
        <v>0</v>
      </c>
      <c r="O200" s="1" t="s">
        <v>1310</v>
      </c>
      <c r="P200" s="1" t="s">
        <v>1311</v>
      </c>
      <c r="Q200" s="1" t="s">
        <v>1312</v>
      </c>
      <c r="R200" s="1">
        <v>41198915.08</v>
      </c>
      <c r="S200" s="9">
        <v>41192415</v>
      </c>
      <c r="T200" s="9">
        <v>41194412</v>
      </c>
      <c r="U200" s="18"/>
      <c r="V200" s="18"/>
      <c r="W200" s="18"/>
      <c r="X200" s="18"/>
      <c r="Y200" s="18"/>
      <c r="Z200" s="18"/>
      <c r="AA200" s="1" t="s">
        <v>1310</v>
      </c>
      <c r="AB200" s="18"/>
      <c r="AC200" s="1">
        <v>41198915.08</v>
      </c>
      <c r="AD200" s="18"/>
      <c r="AE200" s="14">
        <f t="shared" si="14"/>
        <v>0.0470420299431943</v>
      </c>
      <c r="AF200" s="18"/>
      <c r="AG200" s="1">
        <v>0.4</v>
      </c>
      <c r="AH200" s="18"/>
      <c r="AI200" s="18"/>
      <c r="AJ200" s="18"/>
      <c r="AK200" s="18"/>
      <c r="AL200" s="33" t="s">
        <v>1313</v>
      </c>
      <c r="AM200" s="33" t="s">
        <v>1314</v>
      </c>
      <c r="AO200" s="33" t="s">
        <v>1315</v>
      </c>
    </row>
    <row r="201" s="1" customFormat="1" ht="168" hidden="1" spans="1:41">
      <c r="A201" s="1">
        <v>9</v>
      </c>
      <c r="B201" s="5">
        <v>45447</v>
      </c>
      <c r="C201" s="1" t="s">
        <v>1014</v>
      </c>
      <c r="D201" s="1" t="s">
        <v>723</v>
      </c>
      <c r="E201" s="1" t="s">
        <v>1316</v>
      </c>
      <c r="F201" s="1">
        <v>13743045.63</v>
      </c>
      <c r="G201" s="18"/>
      <c r="H201" s="1" t="s">
        <v>1302</v>
      </c>
      <c r="I201" s="1" t="s">
        <v>726</v>
      </c>
      <c r="J201" s="1" t="s">
        <v>46</v>
      </c>
      <c r="K201" s="1" t="s">
        <v>47</v>
      </c>
      <c r="L201" s="1" t="s">
        <v>161</v>
      </c>
      <c r="M201" s="1">
        <v>49</v>
      </c>
      <c r="N201" s="1">
        <v>0</v>
      </c>
      <c r="O201" s="1" t="s">
        <v>1317</v>
      </c>
      <c r="P201" s="1" t="s">
        <v>1318</v>
      </c>
      <c r="Q201" s="1" t="s">
        <v>1319</v>
      </c>
      <c r="R201" s="9">
        <v>13042685</v>
      </c>
      <c r="S201" s="9">
        <v>13039999</v>
      </c>
      <c r="T201" s="1">
        <v>13044128.26</v>
      </c>
      <c r="U201" s="18"/>
      <c r="V201" s="18"/>
      <c r="W201" s="18"/>
      <c r="X201" s="18"/>
      <c r="Y201" s="18"/>
      <c r="Z201" s="18"/>
      <c r="AA201" s="1" t="s">
        <v>1317</v>
      </c>
      <c r="AB201" s="18"/>
      <c r="AC201" s="9">
        <v>13042685</v>
      </c>
      <c r="AD201" s="18"/>
      <c r="AE201" s="14">
        <f t="shared" si="14"/>
        <v>0.0509610932580452</v>
      </c>
      <c r="AF201" s="18"/>
      <c r="AG201" s="1">
        <v>0.1</v>
      </c>
      <c r="AH201" s="18"/>
      <c r="AI201" s="18"/>
      <c r="AJ201" s="18"/>
      <c r="AK201" s="18"/>
      <c r="AL201" s="33" t="s">
        <v>1320</v>
      </c>
      <c r="AM201" s="33" t="s">
        <v>1321</v>
      </c>
      <c r="AO201" s="33" t="s">
        <v>1322</v>
      </c>
    </row>
    <row r="202" ht="168" hidden="1" spans="1:41">
      <c r="A202" s="18">
        <v>10</v>
      </c>
      <c r="B202" s="17">
        <v>45446</v>
      </c>
      <c r="C202" s="1" t="s">
        <v>1014</v>
      </c>
      <c r="D202" s="1" t="s">
        <v>723</v>
      </c>
      <c r="E202" s="1" t="s">
        <v>1323</v>
      </c>
      <c r="F202" s="18">
        <v>19074586.89</v>
      </c>
      <c r="H202" s="1" t="s">
        <v>1302</v>
      </c>
      <c r="I202" s="1" t="s">
        <v>726</v>
      </c>
      <c r="J202" s="1" t="s">
        <v>46</v>
      </c>
      <c r="K202" s="1" t="s">
        <v>47</v>
      </c>
      <c r="L202" s="1" t="s">
        <v>161</v>
      </c>
      <c r="M202" s="18">
        <v>50</v>
      </c>
      <c r="N202" s="18">
        <v>1</v>
      </c>
      <c r="O202" s="1" t="s">
        <v>1324</v>
      </c>
      <c r="P202" s="1" t="s">
        <v>1325</v>
      </c>
      <c r="Q202" s="1" t="s">
        <v>1318</v>
      </c>
      <c r="R202" s="20">
        <v>18027355</v>
      </c>
      <c r="S202" s="18">
        <v>18022148.28</v>
      </c>
      <c r="T202" s="20">
        <v>18022430</v>
      </c>
      <c r="AA202" s="1" t="s">
        <v>1324</v>
      </c>
      <c r="AC202" s="20">
        <v>18027355</v>
      </c>
      <c r="AE202" s="14">
        <f t="shared" si="14"/>
        <v>0.0549019434097952</v>
      </c>
      <c r="AG202" s="18">
        <v>0.2</v>
      </c>
      <c r="AL202" s="33" t="s">
        <v>1326</v>
      </c>
      <c r="AM202" s="33" t="s">
        <v>1327</v>
      </c>
      <c r="AO202" s="33" t="s">
        <v>1328</v>
      </c>
    </row>
    <row r="203" ht="168" hidden="1" spans="1:41">
      <c r="A203" s="18">
        <v>11</v>
      </c>
      <c r="B203" s="17">
        <v>45446</v>
      </c>
      <c r="C203" s="1" t="s">
        <v>1014</v>
      </c>
      <c r="D203" s="1" t="s">
        <v>723</v>
      </c>
      <c r="E203" s="1" t="s">
        <v>1329</v>
      </c>
      <c r="F203" s="18">
        <v>20539982.14</v>
      </c>
      <c r="H203" s="1" t="s">
        <v>1302</v>
      </c>
      <c r="I203" s="1" t="s">
        <v>726</v>
      </c>
      <c r="J203" s="1" t="s">
        <v>46</v>
      </c>
      <c r="K203" s="1" t="s">
        <v>47</v>
      </c>
      <c r="L203" s="1" t="s">
        <v>161</v>
      </c>
      <c r="M203" s="18">
        <v>48</v>
      </c>
      <c r="N203" s="18">
        <v>0</v>
      </c>
      <c r="O203" s="1" t="s">
        <v>1330</v>
      </c>
      <c r="P203" s="1" t="s">
        <v>1331</v>
      </c>
      <c r="Q203" s="1" t="s">
        <v>1332</v>
      </c>
      <c r="R203" s="20">
        <v>19589260</v>
      </c>
      <c r="S203" s="20">
        <v>19589355</v>
      </c>
      <c r="T203" s="20">
        <v>19589370</v>
      </c>
      <c r="AA203" s="1" t="s">
        <v>1330</v>
      </c>
      <c r="AC203" s="20">
        <v>19589260</v>
      </c>
      <c r="AE203" s="14">
        <f t="shared" si="14"/>
        <v>0.0462864151253833</v>
      </c>
      <c r="AG203" s="18">
        <v>0.3</v>
      </c>
      <c r="AL203" s="33" t="s">
        <v>1333</v>
      </c>
      <c r="AM203" s="33" t="s">
        <v>1334</v>
      </c>
      <c r="AO203" s="33" t="s">
        <v>1335</v>
      </c>
    </row>
    <row r="204" ht="168" hidden="1" spans="1:41">
      <c r="A204" s="18">
        <v>12</v>
      </c>
      <c r="B204" s="17">
        <v>45429</v>
      </c>
      <c r="C204" s="1" t="s">
        <v>1014</v>
      </c>
      <c r="D204" s="1" t="s">
        <v>723</v>
      </c>
      <c r="E204" s="1" t="s">
        <v>1336</v>
      </c>
      <c r="F204" s="18">
        <v>36863985.75</v>
      </c>
      <c r="H204" s="1" t="s">
        <v>1302</v>
      </c>
      <c r="I204" s="1" t="s">
        <v>726</v>
      </c>
      <c r="J204" s="1" t="s">
        <v>46</v>
      </c>
      <c r="K204" s="1" t="s">
        <v>47</v>
      </c>
      <c r="L204" s="1" t="s">
        <v>161</v>
      </c>
      <c r="M204" s="18">
        <v>52</v>
      </c>
      <c r="N204" s="18">
        <v>0</v>
      </c>
      <c r="O204" s="1" t="s">
        <v>1337</v>
      </c>
      <c r="P204" s="1" t="s">
        <v>1338</v>
      </c>
      <c r="Q204" s="1" t="s">
        <v>1339</v>
      </c>
      <c r="R204" s="20">
        <v>35171361</v>
      </c>
      <c r="S204" s="18">
        <v>35171845.23</v>
      </c>
      <c r="T204" s="20">
        <v>35172042</v>
      </c>
      <c r="AA204" s="1" t="s">
        <v>1337</v>
      </c>
      <c r="AC204" s="20">
        <v>35171361</v>
      </c>
      <c r="AE204" s="14">
        <f t="shared" si="14"/>
        <v>0.0459154026772594</v>
      </c>
      <c r="AG204" s="18">
        <v>0.3</v>
      </c>
      <c r="AL204" s="33" t="s">
        <v>1340</v>
      </c>
      <c r="AM204" s="33" t="s">
        <v>1341</v>
      </c>
      <c r="AO204" s="33" t="s">
        <v>1342</v>
      </c>
    </row>
    <row r="205" ht="168" hidden="1" spans="1:41">
      <c r="A205" s="18">
        <v>13</v>
      </c>
      <c r="B205" s="17">
        <v>45405</v>
      </c>
      <c r="C205" s="1" t="s">
        <v>1014</v>
      </c>
      <c r="D205" s="1" t="s">
        <v>723</v>
      </c>
      <c r="E205" s="1" t="s">
        <v>1343</v>
      </c>
      <c r="F205" s="18">
        <v>41437804.44</v>
      </c>
      <c r="H205" s="1" t="s">
        <v>1302</v>
      </c>
      <c r="I205" s="1" t="s">
        <v>726</v>
      </c>
      <c r="J205" s="1" t="s">
        <v>46</v>
      </c>
      <c r="K205" s="1" t="s">
        <v>47</v>
      </c>
      <c r="L205" s="1" t="s">
        <v>161</v>
      </c>
      <c r="M205" s="18">
        <v>49</v>
      </c>
      <c r="N205" s="18">
        <v>1</v>
      </c>
      <c r="O205" s="1" t="s">
        <v>1344</v>
      </c>
      <c r="P205" s="1" t="s">
        <v>1345</v>
      </c>
      <c r="Q205" s="1" t="s">
        <v>1346</v>
      </c>
      <c r="R205" s="20">
        <v>39527455</v>
      </c>
      <c r="S205" s="20">
        <v>39527770</v>
      </c>
      <c r="T205" s="20">
        <v>39528020</v>
      </c>
      <c r="AA205" s="1" t="s">
        <v>1344</v>
      </c>
      <c r="AC205" s="20">
        <v>39527455</v>
      </c>
      <c r="AE205" s="14">
        <f t="shared" si="14"/>
        <v>0.046101608562927</v>
      </c>
      <c r="AG205" s="18">
        <v>0.3</v>
      </c>
      <c r="AL205" s="33" t="s">
        <v>1347</v>
      </c>
      <c r="AM205" s="33" t="s">
        <v>1348</v>
      </c>
      <c r="AO205" s="33" t="s">
        <v>1349</v>
      </c>
    </row>
    <row r="206" ht="168" hidden="1" spans="1:41">
      <c r="A206" s="18">
        <v>1</v>
      </c>
      <c r="B206" s="17">
        <v>45588</v>
      </c>
      <c r="C206" s="1" t="s">
        <v>1014</v>
      </c>
      <c r="D206" s="18" t="s">
        <v>399</v>
      </c>
      <c r="E206" s="1" t="s">
        <v>1350</v>
      </c>
      <c r="F206" s="18">
        <v>20299810.71</v>
      </c>
      <c r="H206" s="1" t="s">
        <v>1351</v>
      </c>
      <c r="I206" s="1" t="s">
        <v>1352</v>
      </c>
      <c r="J206" s="1" t="s">
        <v>46</v>
      </c>
      <c r="K206" s="18" t="s">
        <v>47</v>
      </c>
      <c r="L206" s="1" t="s">
        <v>1055</v>
      </c>
      <c r="M206" s="18">
        <v>307</v>
      </c>
      <c r="N206" s="18">
        <v>0</v>
      </c>
      <c r="O206" s="1" t="s">
        <v>1353</v>
      </c>
      <c r="R206" s="20">
        <v>19665623</v>
      </c>
      <c r="AA206" s="1" t="s">
        <v>1353</v>
      </c>
      <c r="AB206" s="1"/>
      <c r="AC206" s="20">
        <v>19665623</v>
      </c>
      <c r="AD206" s="20"/>
      <c r="AE206" s="14">
        <f t="shared" ref="AE206:AE218" si="15">(1-AC206/F206)</f>
        <v>0.0312410652030164</v>
      </c>
      <c r="AF206" s="16"/>
      <c r="AG206" s="18">
        <v>0.2</v>
      </c>
      <c r="AL206" s="33" t="s">
        <v>1354</v>
      </c>
      <c r="AM206" s="33" t="s">
        <v>1355</v>
      </c>
      <c r="AO206" s="33" t="s">
        <v>1356</v>
      </c>
    </row>
    <row r="207" ht="118" hidden="1" spans="1:41">
      <c r="A207" s="18">
        <v>2</v>
      </c>
      <c r="B207" s="17">
        <v>45586</v>
      </c>
      <c r="C207" s="1" t="s">
        <v>1014</v>
      </c>
      <c r="D207" s="18" t="s">
        <v>399</v>
      </c>
      <c r="E207" s="1" t="s">
        <v>1357</v>
      </c>
      <c r="F207" s="18">
        <v>19644745.55</v>
      </c>
      <c r="H207" s="1" t="s">
        <v>1351</v>
      </c>
      <c r="I207" s="1" t="s">
        <v>1358</v>
      </c>
      <c r="J207" s="1" t="s">
        <v>46</v>
      </c>
      <c r="K207" s="18" t="s">
        <v>47</v>
      </c>
      <c r="L207" s="1" t="s">
        <v>1055</v>
      </c>
      <c r="M207" s="18">
        <v>303</v>
      </c>
      <c r="N207" s="18">
        <v>1</v>
      </c>
      <c r="O207" s="1" t="s">
        <v>1359</v>
      </c>
      <c r="R207" s="18">
        <v>19015160.33</v>
      </c>
      <c r="AA207" s="1" t="s">
        <v>1359</v>
      </c>
      <c r="AB207" s="1"/>
      <c r="AC207" s="18">
        <v>19015160.33</v>
      </c>
      <c r="AE207" s="14">
        <f t="shared" si="15"/>
        <v>0.0320485301475438</v>
      </c>
      <c r="AF207" s="16"/>
      <c r="AG207" s="18">
        <v>0.1</v>
      </c>
      <c r="AL207" s="33" t="s">
        <v>1360</v>
      </c>
      <c r="AM207" s="33" t="s">
        <v>1361</v>
      </c>
      <c r="AO207" s="33" t="s">
        <v>1362</v>
      </c>
    </row>
    <row r="208" ht="118" hidden="1" spans="1:41">
      <c r="A208" s="18">
        <v>3</v>
      </c>
      <c r="B208" s="17">
        <v>45586</v>
      </c>
      <c r="C208" s="1" t="s">
        <v>1014</v>
      </c>
      <c r="D208" s="18" t="s">
        <v>399</v>
      </c>
      <c r="E208" s="1" t="s">
        <v>1363</v>
      </c>
      <c r="F208" s="18">
        <v>27432489.47</v>
      </c>
      <c r="H208" s="1" t="s">
        <v>1351</v>
      </c>
      <c r="I208" s="1" t="s">
        <v>512</v>
      </c>
      <c r="J208" s="1" t="s">
        <v>46</v>
      </c>
      <c r="K208" s="18" t="s">
        <v>47</v>
      </c>
      <c r="L208" s="1" t="s">
        <v>1055</v>
      </c>
      <c r="M208" s="18">
        <v>267</v>
      </c>
      <c r="N208" s="18">
        <v>1</v>
      </c>
      <c r="O208" s="1" t="s">
        <v>1364</v>
      </c>
      <c r="R208" s="18">
        <v>26585586.35</v>
      </c>
      <c r="AA208" s="1" t="s">
        <v>1364</v>
      </c>
      <c r="AB208" s="1"/>
      <c r="AC208" s="18">
        <v>26585586.35</v>
      </c>
      <c r="AE208" s="14">
        <f t="shared" si="15"/>
        <v>0.0308722662930816</v>
      </c>
      <c r="AF208" s="16"/>
      <c r="AG208" s="18">
        <v>0.2</v>
      </c>
      <c r="AL208" s="33" t="s">
        <v>1365</v>
      </c>
      <c r="AM208" s="33" t="s">
        <v>1366</v>
      </c>
      <c r="AO208" s="33" t="s">
        <v>1367</v>
      </c>
    </row>
    <row r="209" ht="118" hidden="1" spans="1:41">
      <c r="A209" s="18">
        <v>4</v>
      </c>
      <c r="B209" s="17">
        <v>45583</v>
      </c>
      <c r="C209" s="1" t="s">
        <v>1014</v>
      </c>
      <c r="D209" s="18" t="s">
        <v>399</v>
      </c>
      <c r="E209" s="1" t="s">
        <v>1368</v>
      </c>
      <c r="F209" s="18">
        <v>31626197.87</v>
      </c>
      <c r="H209" s="1" t="s">
        <v>1351</v>
      </c>
      <c r="I209" s="1" t="s">
        <v>1369</v>
      </c>
      <c r="J209" s="1" t="s">
        <v>46</v>
      </c>
      <c r="K209" s="18" t="s">
        <v>47</v>
      </c>
      <c r="L209" s="1" t="s">
        <v>1055</v>
      </c>
      <c r="M209" s="18">
        <v>250</v>
      </c>
      <c r="N209" s="18">
        <v>2</v>
      </c>
      <c r="O209" s="1" t="s">
        <v>1370</v>
      </c>
      <c r="R209" s="20">
        <v>30633459</v>
      </c>
      <c r="AA209" s="1" t="s">
        <v>1370</v>
      </c>
      <c r="AB209" s="1"/>
      <c r="AC209" s="20">
        <v>30633459</v>
      </c>
      <c r="AD209" s="20"/>
      <c r="AE209" s="14">
        <f t="shared" si="15"/>
        <v>0.0313897634511955</v>
      </c>
      <c r="AF209" s="16"/>
      <c r="AG209" s="18">
        <v>0.2</v>
      </c>
      <c r="AL209" s="33" t="s">
        <v>1371</v>
      </c>
      <c r="AM209" s="33" t="s">
        <v>1372</v>
      </c>
      <c r="AO209" s="33" t="s">
        <v>1373</v>
      </c>
    </row>
    <row r="210" ht="118" hidden="1" spans="1:41">
      <c r="A210" s="18">
        <v>5</v>
      </c>
      <c r="B210" s="17">
        <v>45583</v>
      </c>
      <c r="C210" s="1" t="s">
        <v>1014</v>
      </c>
      <c r="D210" s="18" t="s">
        <v>399</v>
      </c>
      <c r="E210" s="1" t="s">
        <v>1374</v>
      </c>
      <c r="F210" s="18">
        <v>29498346.99</v>
      </c>
      <c r="H210" s="1" t="s">
        <v>1351</v>
      </c>
      <c r="I210" s="1" t="s">
        <v>1375</v>
      </c>
      <c r="J210" s="1" t="s">
        <v>46</v>
      </c>
      <c r="K210" s="18" t="s">
        <v>47</v>
      </c>
      <c r="L210" s="1" t="s">
        <v>1055</v>
      </c>
      <c r="M210" s="18">
        <v>273</v>
      </c>
      <c r="N210" s="18">
        <v>0</v>
      </c>
      <c r="O210" s="1" t="s">
        <v>1376</v>
      </c>
      <c r="R210" s="18">
        <v>28526201.36</v>
      </c>
      <c r="AA210" s="1" t="s">
        <v>1376</v>
      </c>
      <c r="AB210" s="1"/>
      <c r="AC210" s="18">
        <v>28526201.36</v>
      </c>
      <c r="AE210" s="14">
        <f t="shared" si="15"/>
        <v>0.0329559358132697</v>
      </c>
      <c r="AF210" s="16"/>
      <c r="AG210" s="18">
        <v>0.1</v>
      </c>
      <c r="AL210" s="33" t="s">
        <v>1377</v>
      </c>
      <c r="AM210" s="33" t="s">
        <v>1378</v>
      </c>
      <c r="AO210" s="33" t="s">
        <v>1379</v>
      </c>
    </row>
    <row r="211" ht="118" hidden="1" spans="1:41">
      <c r="A211" s="18">
        <v>6</v>
      </c>
      <c r="B211" s="17">
        <v>45583</v>
      </c>
      <c r="C211" s="1" t="s">
        <v>1014</v>
      </c>
      <c r="D211" s="18" t="s">
        <v>399</v>
      </c>
      <c r="E211" s="1" t="s">
        <v>1380</v>
      </c>
      <c r="F211" s="18">
        <v>22558610.87</v>
      </c>
      <c r="H211" s="1" t="s">
        <v>1351</v>
      </c>
      <c r="I211" s="1" t="s">
        <v>1381</v>
      </c>
      <c r="J211" s="1" t="s">
        <v>46</v>
      </c>
      <c r="K211" s="18" t="s">
        <v>47</v>
      </c>
      <c r="L211" s="1" t="s">
        <v>1055</v>
      </c>
      <c r="M211" s="18">
        <v>303</v>
      </c>
      <c r="N211" s="18">
        <v>0</v>
      </c>
      <c r="O211" s="1" t="s">
        <v>1382</v>
      </c>
      <c r="R211" s="18">
        <v>21785717.17</v>
      </c>
      <c r="AA211" s="1" t="s">
        <v>1382</v>
      </c>
      <c r="AB211" s="1"/>
      <c r="AC211" s="18">
        <v>21785717.17</v>
      </c>
      <c r="AE211" s="14">
        <f t="shared" si="15"/>
        <v>0.0342615821716153</v>
      </c>
      <c r="AF211" s="16"/>
      <c r="AG211" s="18">
        <v>0.3</v>
      </c>
      <c r="AL211" s="33" t="s">
        <v>1383</v>
      </c>
      <c r="AM211" s="33" t="s">
        <v>1384</v>
      </c>
      <c r="AO211" s="33" t="s">
        <v>1385</v>
      </c>
    </row>
    <row r="212" ht="118" hidden="1" spans="1:41">
      <c r="A212" s="18">
        <v>7</v>
      </c>
      <c r="B212" s="17">
        <v>45582</v>
      </c>
      <c r="C212" s="1" t="s">
        <v>1014</v>
      </c>
      <c r="D212" s="18" t="s">
        <v>399</v>
      </c>
      <c r="E212" s="1" t="s">
        <v>1386</v>
      </c>
      <c r="F212" s="20">
        <v>24626202.8</v>
      </c>
      <c r="H212" s="1" t="s">
        <v>1351</v>
      </c>
      <c r="I212" s="1" t="s">
        <v>1387</v>
      </c>
      <c r="J212" s="1" t="s">
        <v>46</v>
      </c>
      <c r="K212" s="18" t="s">
        <v>47</v>
      </c>
      <c r="L212" s="1" t="s">
        <v>1055</v>
      </c>
      <c r="M212" s="18">
        <v>300</v>
      </c>
      <c r="N212" s="18">
        <v>0</v>
      </c>
      <c r="O212" s="1" t="s">
        <v>1388</v>
      </c>
      <c r="R212" s="18">
        <v>23774980.47</v>
      </c>
      <c r="AA212" s="1" t="s">
        <v>1388</v>
      </c>
      <c r="AB212" s="1"/>
      <c r="AC212" s="18">
        <v>23774980.47</v>
      </c>
      <c r="AE212" s="14">
        <f t="shared" si="15"/>
        <v>0.0345657159129706</v>
      </c>
      <c r="AF212" s="16"/>
      <c r="AG212" s="18">
        <v>0.2</v>
      </c>
      <c r="AL212" s="33" t="s">
        <v>1389</v>
      </c>
      <c r="AM212" s="33" t="s">
        <v>1390</v>
      </c>
      <c r="AO212" s="33" t="s">
        <v>1391</v>
      </c>
    </row>
    <row r="213" ht="135" hidden="1" spans="1:41">
      <c r="A213" s="18">
        <v>8</v>
      </c>
      <c r="B213" s="17">
        <v>45404</v>
      </c>
      <c r="C213" s="1" t="s">
        <v>1014</v>
      </c>
      <c r="D213" s="18" t="s">
        <v>399</v>
      </c>
      <c r="E213" s="1" t="s">
        <v>1392</v>
      </c>
      <c r="F213" s="18">
        <v>30537172.65</v>
      </c>
      <c r="H213" s="1" t="s">
        <v>1393</v>
      </c>
      <c r="I213" s="1" t="s">
        <v>1394</v>
      </c>
      <c r="J213" s="1" t="s">
        <v>46</v>
      </c>
      <c r="K213" s="18" t="s">
        <v>47</v>
      </c>
      <c r="L213" s="1" t="s">
        <v>161</v>
      </c>
      <c r="M213" s="18">
        <v>64</v>
      </c>
      <c r="N213" s="18">
        <v>1</v>
      </c>
      <c r="O213" s="1" t="s">
        <v>1239</v>
      </c>
      <c r="R213" s="18">
        <v>30001298.67</v>
      </c>
      <c r="AA213" s="1" t="s">
        <v>1239</v>
      </c>
      <c r="AB213" s="1"/>
      <c r="AC213" s="18">
        <v>30001298.67</v>
      </c>
      <c r="AE213" s="14">
        <f t="shared" si="15"/>
        <v>0.0175482513113406</v>
      </c>
      <c r="AF213" s="16"/>
      <c r="AG213" s="18">
        <v>0.1</v>
      </c>
      <c r="AL213" s="33" t="s">
        <v>1395</v>
      </c>
      <c r="AM213" s="33" t="s">
        <v>1396</v>
      </c>
      <c r="AO213" s="33" t="s">
        <v>1397</v>
      </c>
    </row>
    <row r="214" ht="135" hidden="1" spans="1:41">
      <c r="A214" s="18">
        <v>9</v>
      </c>
      <c r="B214" s="17">
        <v>45401</v>
      </c>
      <c r="C214" s="1" t="s">
        <v>1014</v>
      </c>
      <c r="D214" s="18" t="s">
        <v>399</v>
      </c>
      <c r="E214" s="1" t="s">
        <v>1398</v>
      </c>
      <c r="F214" s="18">
        <v>17571062.99</v>
      </c>
      <c r="H214" s="1" t="s">
        <v>1393</v>
      </c>
      <c r="I214" s="1" t="s">
        <v>1399</v>
      </c>
      <c r="J214" s="1" t="s">
        <v>46</v>
      </c>
      <c r="K214" s="18" t="s">
        <v>47</v>
      </c>
      <c r="L214" s="1" t="s">
        <v>161</v>
      </c>
      <c r="M214" s="18">
        <v>58</v>
      </c>
      <c r="N214" s="18">
        <v>1</v>
      </c>
      <c r="O214" s="1" t="s">
        <v>1400</v>
      </c>
      <c r="R214" s="18">
        <v>17048538.04</v>
      </c>
      <c r="AA214" s="1" t="s">
        <v>1400</v>
      </c>
      <c r="AB214" s="1"/>
      <c r="AC214" s="18">
        <v>17048538.04</v>
      </c>
      <c r="AE214" s="14">
        <f t="shared" si="15"/>
        <v>0.0297378109848777</v>
      </c>
      <c r="AF214" s="16"/>
      <c r="AG214" s="18">
        <v>0.1</v>
      </c>
      <c r="AL214" s="33" t="s">
        <v>1401</v>
      </c>
      <c r="AM214" s="33" t="s">
        <v>1402</v>
      </c>
      <c r="AO214" s="33" t="s">
        <v>1403</v>
      </c>
    </row>
    <row r="215" ht="135" hidden="1" spans="1:41">
      <c r="A215" s="18">
        <v>10</v>
      </c>
      <c r="B215" s="17">
        <v>45399</v>
      </c>
      <c r="C215" s="1" t="s">
        <v>1014</v>
      </c>
      <c r="D215" s="18" t="s">
        <v>399</v>
      </c>
      <c r="E215" s="1" t="s">
        <v>1404</v>
      </c>
      <c r="F215" s="18">
        <v>37314837.51</v>
      </c>
      <c r="H215" s="1" t="s">
        <v>1393</v>
      </c>
      <c r="I215" s="1" t="s">
        <v>1405</v>
      </c>
      <c r="J215" s="1" t="s">
        <v>46</v>
      </c>
      <c r="K215" s="18" t="s">
        <v>47</v>
      </c>
      <c r="L215" s="1" t="s">
        <v>161</v>
      </c>
      <c r="M215" s="18">
        <v>64</v>
      </c>
      <c r="N215" s="18">
        <v>0</v>
      </c>
      <c r="O215" s="1" t="s">
        <v>1337</v>
      </c>
      <c r="R215" s="18">
        <v>36174496.08</v>
      </c>
      <c r="AA215" s="1" t="s">
        <v>1337</v>
      </c>
      <c r="AB215" s="1"/>
      <c r="AC215" s="18">
        <v>36174496.08</v>
      </c>
      <c r="AE215" s="14">
        <f t="shared" si="15"/>
        <v>0.0305599998846142</v>
      </c>
      <c r="AF215" s="16"/>
      <c r="AG215" s="18">
        <v>0.3</v>
      </c>
      <c r="AL215" s="33" t="s">
        <v>1406</v>
      </c>
      <c r="AM215" s="33" t="s">
        <v>1407</v>
      </c>
      <c r="AO215" s="32" t="s">
        <v>1408</v>
      </c>
    </row>
    <row r="216" ht="135" hidden="1" spans="1:41">
      <c r="A216" s="18">
        <v>11</v>
      </c>
      <c r="B216" s="17">
        <v>45397</v>
      </c>
      <c r="C216" s="1" t="s">
        <v>1014</v>
      </c>
      <c r="D216" s="18" t="s">
        <v>399</v>
      </c>
      <c r="E216" s="1" t="s">
        <v>1409</v>
      </c>
      <c r="F216" s="18">
        <v>34620879.87</v>
      </c>
      <c r="H216" s="1" t="s">
        <v>1393</v>
      </c>
      <c r="I216" s="1" t="s">
        <v>562</v>
      </c>
      <c r="J216" s="1" t="s">
        <v>46</v>
      </c>
      <c r="K216" s="18" t="s">
        <v>47</v>
      </c>
      <c r="L216" s="1" t="s">
        <v>161</v>
      </c>
      <c r="M216" s="18">
        <v>65</v>
      </c>
      <c r="N216" s="18">
        <v>1</v>
      </c>
      <c r="O216" s="1" t="s">
        <v>1410</v>
      </c>
      <c r="R216" s="18">
        <v>33527251.31</v>
      </c>
      <c r="AA216" s="1" t="s">
        <v>1410</v>
      </c>
      <c r="AB216" s="1"/>
      <c r="AC216" s="18">
        <v>33527251.31</v>
      </c>
      <c r="AE216" s="14">
        <f t="shared" si="15"/>
        <v>0.031588699192699</v>
      </c>
      <c r="AF216" s="16"/>
      <c r="AG216" s="18">
        <v>0.2</v>
      </c>
      <c r="AL216" s="33" t="s">
        <v>1411</v>
      </c>
      <c r="AM216" s="33" t="s">
        <v>1412</v>
      </c>
      <c r="AO216" s="33" t="s">
        <v>1413</v>
      </c>
    </row>
    <row r="217" ht="135" hidden="1" spans="1:41">
      <c r="A217" s="18">
        <v>12</v>
      </c>
      <c r="B217" s="17">
        <v>45394</v>
      </c>
      <c r="C217" s="1" t="s">
        <v>1014</v>
      </c>
      <c r="D217" s="18" t="s">
        <v>399</v>
      </c>
      <c r="E217" s="1" t="s">
        <v>1414</v>
      </c>
      <c r="F217" s="18">
        <v>41982317.11</v>
      </c>
      <c r="H217" s="1" t="s">
        <v>1393</v>
      </c>
      <c r="I217" s="1" t="s">
        <v>1415</v>
      </c>
      <c r="J217" s="1" t="s">
        <v>46</v>
      </c>
      <c r="K217" s="18" t="s">
        <v>47</v>
      </c>
      <c r="L217" s="1" t="s">
        <v>161</v>
      </c>
      <c r="M217" s="18">
        <v>67</v>
      </c>
      <c r="N217" s="18">
        <v>0</v>
      </c>
      <c r="O217" s="1" t="s">
        <v>1416</v>
      </c>
      <c r="R217" s="18">
        <v>40541534.93</v>
      </c>
      <c r="AA217" s="1" t="s">
        <v>1416</v>
      </c>
      <c r="AB217" s="1"/>
      <c r="AC217" s="18">
        <v>40541534.93</v>
      </c>
      <c r="AE217" s="14">
        <f t="shared" si="15"/>
        <v>0.0343187865554189</v>
      </c>
      <c r="AF217" s="16"/>
      <c r="AG217" s="18">
        <v>0.1</v>
      </c>
      <c r="AL217" s="33" t="s">
        <v>1417</v>
      </c>
      <c r="AM217" s="33" t="s">
        <v>1418</v>
      </c>
      <c r="AO217" s="33" t="s">
        <v>1419</v>
      </c>
    </row>
    <row r="218" ht="135" hidden="1" spans="1:41">
      <c r="A218" s="18">
        <v>13</v>
      </c>
      <c r="B218" s="17">
        <v>45394</v>
      </c>
      <c r="C218" s="1" t="s">
        <v>1014</v>
      </c>
      <c r="D218" s="18" t="s">
        <v>399</v>
      </c>
      <c r="E218" s="1" t="s">
        <v>1420</v>
      </c>
      <c r="F218" s="18">
        <v>40305360.72</v>
      </c>
      <c r="H218" s="1" t="s">
        <v>1393</v>
      </c>
      <c r="I218" s="1" t="s">
        <v>1421</v>
      </c>
      <c r="J218" s="1" t="s">
        <v>46</v>
      </c>
      <c r="K218" s="18" t="s">
        <v>47</v>
      </c>
      <c r="L218" s="1" t="s">
        <v>161</v>
      </c>
      <c r="M218" s="18">
        <v>67</v>
      </c>
      <c r="N218" s="18">
        <v>0</v>
      </c>
      <c r="O218" s="1" t="s">
        <v>1422</v>
      </c>
      <c r="R218" s="20">
        <v>38975503</v>
      </c>
      <c r="AA218" s="1" t="s">
        <v>1422</v>
      </c>
      <c r="AB218" s="1"/>
      <c r="AC218" s="20">
        <v>38975503</v>
      </c>
      <c r="AD218" s="20"/>
      <c r="AE218" s="14">
        <f t="shared" si="15"/>
        <v>0.0329945619203975</v>
      </c>
      <c r="AF218" s="16"/>
      <c r="AG218" s="18">
        <v>0.2</v>
      </c>
      <c r="AL218" s="33" t="s">
        <v>1423</v>
      </c>
      <c r="AM218" s="33" t="s">
        <v>1424</v>
      </c>
      <c r="AO218" s="33" t="s">
        <v>1425</v>
      </c>
    </row>
    <row r="219" ht="185" spans="1:41">
      <c r="A219" s="18">
        <v>1</v>
      </c>
      <c r="B219" s="17">
        <v>45442</v>
      </c>
      <c r="C219" s="18" t="s">
        <v>1014</v>
      </c>
      <c r="D219" s="18" t="s">
        <v>268</v>
      </c>
      <c r="E219" s="1" t="s">
        <v>1426</v>
      </c>
      <c r="F219" s="18">
        <v>20316986.39</v>
      </c>
      <c r="H219" s="1" t="s">
        <v>1220</v>
      </c>
      <c r="I219" s="1" t="s">
        <v>469</v>
      </c>
      <c r="J219" s="1" t="s">
        <v>46</v>
      </c>
      <c r="K219" s="18" t="s">
        <v>47</v>
      </c>
      <c r="L219" s="1" t="s">
        <v>1025</v>
      </c>
      <c r="M219" s="18">
        <v>61</v>
      </c>
      <c r="N219" s="18">
        <v>0</v>
      </c>
      <c r="O219" s="1" t="s">
        <v>1317</v>
      </c>
      <c r="P219" s="1" t="s">
        <v>1427</v>
      </c>
      <c r="Q219" s="1" t="s">
        <v>1428</v>
      </c>
      <c r="R219" s="20">
        <v>20307167</v>
      </c>
      <c r="S219" s="20">
        <v>20307319</v>
      </c>
      <c r="T219" s="18">
        <v>20307422.16</v>
      </c>
      <c r="AA219" s="1" t="s">
        <v>1317</v>
      </c>
      <c r="AB219" s="1"/>
      <c r="AC219" s="18">
        <v>20307167</v>
      </c>
      <c r="AE219" s="14">
        <f t="shared" ref="AE219:AE224" si="16">(1-AC219/F219)</f>
        <v>0.000483309375293617</v>
      </c>
      <c r="AF219" s="16"/>
      <c r="AG219" s="18">
        <v>0.2</v>
      </c>
      <c r="AL219" s="32" t="s">
        <v>1429</v>
      </c>
      <c r="AM219" s="33" t="s">
        <v>1430</v>
      </c>
      <c r="AO219" s="32" t="s">
        <v>1431</v>
      </c>
    </row>
    <row r="220" ht="152" spans="1:41">
      <c r="A220" s="18">
        <v>2</v>
      </c>
      <c r="B220" s="17">
        <v>45442</v>
      </c>
      <c r="C220" s="18" t="s">
        <v>1014</v>
      </c>
      <c r="D220" s="18" t="s">
        <v>268</v>
      </c>
      <c r="E220" s="1" t="s">
        <v>1432</v>
      </c>
      <c r="F220" s="18">
        <v>22918519.24</v>
      </c>
      <c r="H220" s="1" t="s">
        <v>1220</v>
      </c>
      <c r="I220" s="1" t="s">
        <v>1433</v>
      </c>
      <c r="J220" s="1" t="s">
        <v>46</v>
      </c>
      <c r="K220" s="18" t="s">
        <v>47</v>
      </c>
      <c r="L220" s="1" t="s">
        <v>1025</v>
      </c>
      <c r="M220" s="18">
        <v>61</v>
      </c>
      <c r="N220" s="18">
        <v>0</v>
      </c>
      <c r="O220" s="1" t="s">
        <v>1239</v>
      </c>
      <c r="P220" s="1" t="s">
        <v>1434</v>
      </c>
      <c r="Q220" s="1" t="s">
        <v>1167</v>
      </c>
      <c r="R220" s="18">
        <v>22909569.06</v>
      </c>
      <c r="S220" s="20">
        <v>22909615</v>
      </c>
      <c r="T220" s="20">
        <v>22909636</v>
      </c>
      <c r="AA220" s="1" t="s">
        <v>1239</v>
      </c>
      <c r="AB220" s="1"/>
      <c r="AC220" s="18">
        <v>22909569.06</v>
      </c>
      <c r="AE220" s="14">
        <f t="shared" si="16"/>
        <v>0.00039052173948384</v>
      </c>
      <c r="AF220" s="16"/>
      <c r="AG220" s="18">
        <v>0.4</v>
      </c>
      <c r="AL220" s="33" t="s">
        <v>1435</v>
      </c>
      <c r="AM220" s="33" t="s">
        <v>1436</v>
      </c>
      <c r="AO220" s="33" t="s">
        <v>1437</v>
      </c>
    </row>
    <row r="221" ht="185" spans="1:41">
      <c r="A221" s="18">
        <v>3</v>
      </c>
      <c r="B221" s="17">
        <v>45441</v>
      </c>
      <c r="C221" s="18" t="s">
        <v>1014</v>
      </c>
      <c r="D221" s="18" t="s">
        <v>268</v>
      </c>
      <c r="E221" s="1" t="s">
        <v>1438</v>
      </c>
      <c r="F221" s="18">
        <v>18241220.86</v>
      </c>
      <c r="H221" s="1" t="s">
        <v>1220</v>
      </c>
      <c r="I221" s="1" t="s">
        <v>469</v>
      </c>
      <c r="J221" s="1" t="s">
        <v>46</v>
      </c>
      <c r="K221" s="18" t="s">
        <v>47</v>
      </c>
      <c r="L221" s="1" t="s">
        <v>1055</v>
      </c>
      <c r="M221" s="18">
        <v>65</v>
      </c>
      <c r="N221" s="18">
        <v>0</v>
      </c>
      <c r="O221" s="1" t="s">
        <v>1439</v>
      </c>
      <c r="P221" s="1" t="s">
        <v>1440</v>
      </c>
      <c r="Q221" s="1" t="s">
        <v>1441</v>
      </c>
      <c r="R221" s="18">
        <v>18230560.11</v>
      </c>
      <c r="S221" s="20">
        <v>18230640</v>
      </c>
      <c r="T221" s="20">
        <v>18230715</v>
      </c>
      <c r="AA221" s="1" t="s">
        <v>1439</v>
      </c>
      <c r="AB221" s="1"/>
      <c r="AC221" s="18">
        <v>18230560.11</v>
      </c>
      <c r="AE221" s="14">
        <f>1-AC221/F221</f>
        <v>0.000584431825140452</v>
      </c>
      <c r="AF221" s="16"/>
      <c r="AG221" s="18">
        <v>0.3</v>
      </c>
      <c r="AL221" s="33" t="s">
        <v>1442</v>
      </c>
      <c r="AM221" s="33" t="s">
        <v>1443</v>
      </c>
      <c r="AO221" s="33" t="s">
        <v>1444</v>
      </c>
    </row>
    <row r="222" ht="185" spans="1:41">
      <c r="A222" s="18">
        <v>4</v>
      </c>
      <c r="B222" s="17">
        <v>45441</v>
      </c>
      <c r="C222" s="18" t="s">
        <v>1014</v>
      </c>
      <c r="D222" s="18" t="s">
        <v>268</v>
      </c>
      <c r="E222" s="1" t="s">
        <v>1445</v>
      </c>
      <c r="F222" s="18">
        <v>15999404.9</v>
      </c>
      <c r="H222" s="1" t="s">
        <v>1220</v>
      </c>
      <c r="I222" s="1" t="s">
        <v>469</v>
      </c>
      <c r="J222" s="1" t="s">
        <v>46</v>
      </c>
      <c r="K222" s="18" t="s">
        <v>47</v>
      </c>
      <c r="L222" s="1" t="s">
        <v>1055</v>
      </c>
      <c r="M222" s="18">
        <v>66</v>
      </c>
      <c r="N222" s="18">
        <v>1</v>
      </c>
      <c r="O222" s="1" t="s">
        <v>1446</v>
      </c>
      <c r="P222" s="1" t="s">
        <v>1447</v>
      </c>
      <c r="Q222" s="1" t="s">
        <v>1339</v>
      </c>
      <c r="R222" s="18">
        <v>15988088.88</v>
      </c>
      <c r="S222" s="18">
        <v>15988111.63</v>
      </c>
      <c r="T222" s="20">
        <v>15988191</v>
      </c>
      <c r="AA222" s="1" t="s">
        <v>1446</v>
      </c>
      <c r="AB222" s="1"/>
      <c r="AC222" s="18">
        <v>15988088.88</v>
      </c>
      <c r="AE222" s="14">
        <f>1-AC222/F222</f>
        <v>0.00070727755630462</v>
      </c>
      <c r="AF222" s="16"/>
      <c r="AG222" s="18">
        <v>0.2</v>
      </c>
      <c r="AL222" s="33" t="s">
        <v>1448</v>
      </c>
      <c r="AM222" s="33" t="s">
        <v>1449</v>
      </c>
      <c r="AO222" s="33" t="s">
        <v>1450</v>
      </c>
    </row>
    <row r="223" ht="152" spans="1:41">
      <c r="A223" s="18">
        <v>5</v>
      </c>
      <c r="B223" s="18" t="s">
        <v>1451</v>
      </c>
      <c r="C223" s="18" t="s">
        <v>1014</v>
      </c>
      <c r="D223" s="18" t="s">
        <v>268</v>
      </c>
      <c r="E223" s="1" t="s">
        <v>1452</v>
      </c>
      <c r="F223" s="18">
        <v>25415349.25</v>
      </c>
      <c r="H223" s="1" t="s">
        <v>1220</v>
      </c>
      <c r="I223" s="1" t="s">
        <v>1433</v>
      </c>
      <c r="J223" s="1" t="s">
        <v>46</v>
      </c>
      <c r="K223" s="18" t="s">
        <v>47</v>
      </c>
      <c r="L223" s="1" t="s">
        <v>1025</v>
      </c>
      <c r="M223" s="18">
        <v>62</v>
      </c>
      <c r="N223" s="18">
        <v>1</v>
      </c>
      <c r="O223" s="1" t="s">
        <v>1453</v>
      </c>
      <c r="P223" s="1" t="s">
        <v>1312</v>
      </c>
      <c r="Q223" s="1" t="s">
        <v>1454</v>
      </c>
      <c r="R223" s="20">
        <v>25404547</v>
      </c>
      <c r="S223" s="20">
        <v>25404673</v>
      </c>
      <c r="T223" s="18">
        <v>25404800.35</v>
      </c>
      <c r="AA223" s="1" t="s">
        <v>1453</v>
      </c>
      <c r="AB223" s="1"/>
      <c r="AC223" s="20">
        <v>25404547</v>
      </c>
      <c r="AD223" s="20"/>
      <c r="AE223" s="14">
        <f t="shared" si="16"/>
        <v>0.000425028587793252</v>
      </c>
      <c r="AF223" s="16"/>
      <c r="AG223" s="18">
        <v>0.4</v>
      </c>
      <c r="AL223" s="33" t="s">
        <v>1455</v>
      </c>
      <c r="AM223" s="33" t="s">
        <v>1456</v>
      </c>
      <c r="AO223" s="33" t="s">
        <v>1457</v>
      </c>
    </row>
    <row r="224" ht="152" spans="1:41">
      <c r="A224" s="18">
        <v>6</v>
      </c>
      <c r="B224" s="17">
        <v>45440</v>
      </c>
      <c r="C224" s="18" t="s">
        <v>1014</v>
      </c>
      <c r="D224" s="18" t="s">
        <v>268</v>
      </c>
      <c r="E224" s="1" t="s">
        <v>1458</v>
      </c>
      <c r="F224" s="20">
        <v>7546409.3</v>
      </c>
      <c r="H224" s="1" t="s">
        <v>1220</v>
      </c>
      <c r="I224" s="1" t="s">
        <v>1433</v>
      </c>
      <c r="J224" s="1" t="s">
        <v>46</v>
      </c>
      <c r="K224" s="18" t="s">
        <v>47</v>
      </c>
      <c r="L224" s="1" t="s">
        <v>1055</v>
      </c>
      <c r="M224" s="18">
        <v>456</v>
      </c>
      <c r="N224" s="18">
        <v>2</v>
      </c>
      <c r="O224" s="1" t="s">
        <v>1459</v>
      </c>
      <c r="P224" s="1" t="s">
        <v>1297</v>
      </c>
      <c r="Q224" s="1" t="s">
        <v>1460</v>
      </c>
      <c r="R224" s="18">
        <v>7521526.91</v>
      </c>
      <c r="S224" s="18">
        <v>7521792.66</v>
      </c>
      <c r="T224" s="18">
        <v>7521878.56</v>
      </c>
      <c r="AA224" s="1" t="s">
        <v>1459</v>
      </c>
      <c r="AB224" s="1"/>
      <c r="AC224" s="18">
        <v>7521526.91</v>
      </c>
      <c r="AE224" s="14">
        <f t="shared" si="16"/>
        <v>0.00329724893135597</v>
      </c>
      <c r="AF224" s="16"/>
      <c r="AL224" s="32" t="s">
        <v>1461</v>
      </c>
      <c r="AM224" s="33" t="s">
        <v>1462</v>
      </c>
      <c r="AO224" s="33" t="s">
        <v>1463</v>
      </c>
    </row>
    <row r="225" ht="168" hidden="1" spans="1:41">
      <c r="A225" s="18">
        <v>58</v>
      </c>
      <c r="B225" s="17" t="s">
        <v>1464</v>
      </c>
      <c r="C225" s="18" t="s">
        <v>1014</v>
      </c>
      <c r="D225" s="18" t="s">
        <v>838</v>
      </c>
      <c r="E225" s="46" t="s">
        <v>1465</v>
      </c>
      <c r="F225" s="18">
        <v>36360676.32</v>
      </c>
      <c r="H225" s="1" t="s">
        <v>1466</v>
      </c>
      <c r="I225" s="1" t="s">
        <v>699</v>
      </c>
      <c r="J225" s="1" t="s">
        <v>46</v>
      </c>
      <c r="K225" s="18" t="s">
        <v>47</v>
      </c>
      <c r="L225" s="1" t="s">
        <v>161</v>
      </c>
      <c r="M225" s="18">
        <v>54</v>
      </c>
      <c r="N225" s="18">
        <v>0</v>
      </c>
      <c r="O225" s="1" t="s">
        <v>1467</v>
      </c>
      <c r="P225" s="1" t="s">
        <v>1468</v>
      </c>
      <c r="Q225" s="1" t="s">
        <v>1469</v>
      </c>
      <c r="R225" s="20">
        <v>34595756.51</v>
      </c>
      <c r="S225" s="20">
        <v>34595846</v>
      </c>
      <c r="T225" s="20">
        <v>34596023</v>
      </c>
      <c r="AA225" s="1" t="s">
        <v>1467</v>
      </c>
      <c r="AC225" s="20">
        <v>34595756.51</v>
      </c>
      <c r="AE225" s="16">
        <f t="shared" ref="AE225:AE229" si="17">1-AC225/F225</f>
        <v>0.0485392459278657</v>
      </c>
      <c r="AL225" s="32" t="s">
        <v>1470</v>
      </c>
      <c r="AM225" s="33" t="s">
        <v>206</v>
      </c>
      <c r="AO225" s="33" t="s">
        <v>1471</v>
      </c>
    </row>
    <row r="226" ht="168" hidden="1" spans="1:41">
      <c r="A226" s="18">
        <v>59</v>
      </c>
      <c r="B226" s="17" t="s">
        <v>1464</v>
      </c>
      <c r="C226" s="18" t="s">
        <v>1014</v>
      </c>
      <c r="D226" s="18" t="s">
        <v>838</v>
      </c>
      <c r="E226" s="46" t="s">
        <v>1472</v>
      </c>
      <c r="F226" s="18">
        <v>30509816.02</v>
      </c>
      <c r="H226" s="1" t="s">
        <v>1466</v>
      </c>
      <c r="I226" s="1" t="s">
        <v>1473</v>
      </c>
      <c r="J226" s="1" t="s">
        <v>46</v>
      </c>
      <c r="K226" s="18" t="s">
        <v>47</v>
      </c>
      <c r="L226" s="1" t="s">
        <v>161</v>
      </c>
      <c r="M226" s="18">
        <v>54</v>
      </c>
      <c r="N226" s="18">
        <v>0</v>
      </c>
      <c r="O226" s="1" t="s">
        <v>1474</v>
      </c>
      <c r="P226" s="1" t="s">
        <v>1475</v>
      </c>
      <c r="Q226" s="1" t="s">
        <v>1476</v>
      </c>
      <c r="R226" s="20">
        <v>29042390.19</v>
      </c>
      <c r="S226" s="20">
        <v>29043033.27</v>
      </c>
      <c r="T226" s="20">
        <v>29043554</v>
      </c>
      <c r="AA226" s="1" t="s">
        <v>1474</v>
      </c>
      <c r="AC226" s="20">
        <v>29042390.19</v>
      </c>
      <c r="AE226" s="16">
        <f t="shared" si="17"/>
        <v>0.0480968429648366</v>
      </c>
      <c r="AG226" s="18">
        <v>0.4</v>
      </c>
      <c r="AL226" s="32" t="s">
        <v>1477</v>
      </c>
      <c r="AM226" s="32" t="s">
        <v>212</v>
      </c>
      <c r="AO226" s="32" t="s">
        <v>1478</v>
      </c>
    </row>
    <row r="227" ht="168" hidden="1" spans="1:41">
      <c r="A227" s="18">
        <v>60</v>
      </c>
      <c r="B227" s="17" t="s">
        <v>1479</v>
      </c>
      <c r="C227" s="18" t="s">
        <v>1014</v>
      </c>
      <c r="D227" s="18" t="s">
        <v>838</v>
      </c>
      <c r="E227" s="46" t="s">
        <v>1480</v>
      </c>
      <c r="F227" s="18">
        <v>24696822.01</v>
      </c>
      <c r="H227" s="1" t="s">
        <v>1466</v>
      </c>
      <c r="I227" s="1" t="s">
        <v>1064</v>
      </c>
      <c r="J227" s="1" t="s">
        <v>46</v>
      </c>
      <c r="K227" s="18" t="s">
        <v>47</v>
      </c>
      <c r="L227" s="1" t="s">
        <v>161</v>
      </c>
      <c r="M227" s="18">
        <v>51</v>
      </c>
      <c r="N227" s="18">
        <v>0</v>
      </c>
      <c r="O227" s="1" t="s">
        <v>1481</v>
      </c>
      <c r="P227" s="1" t="s">
        <v>1482</v>
      </c>
      <c r="Q227" s="1" t="s">
        <v>1483</v>
      </c>
      <c r="R227" s="20">
        <v>23503088.11</v>
      </c>
      <c r="S227" s="20">
        <v>23503435.53</v>
      </c>
      <c r="T227" s="20">
        <v>23503450.52</v>
      </c>
      <c r="AA227" s="1" t="s">
        <v>1481</v>
      </c>
      <c r="AC227" s="20">
        <v>23503088.11</v>
      </c>
      <c r="AE227" s="16">
        <f t="shared" si="17"/>
        <v>0.0483355267133823</v>
      </c>
      <c r="AG227" s="18">
        <v>0.3</v>
      </c>
      <c r="AL227" s="32" t="s">
        <v>1484</v>
      </c>
      <c r="AM227" s="32" t="s">
        <v>219</v>
      </c>
      <c r="AO227" s="32" t="s">
        <v>1485</v>
      </c>
    </row>
    <row r="228" ht="168" hidden="1" spans="1:41">
      <c r="A228" s="18">
        <v>61</v>
      </c>
      <c r="B228" s="17">
        <v>45429</v>
      </c>
      <c r="C228" s="18" t="s">
        <v>1014</v>
      </c>
      <c r="D228" s="18" t="s">
        <v>838</v>
      </c>
      <c r="E228" s="46" t="s">
        <v>1486</v>
      </c>
      <c r="F228" s="18">
        <v>7773701.83</v>
      </c>
      <c r="H228" s="1" t="s">
        <v>1466</v>
      </c>
      <c r="I228" s="1" t="s">
        <v>1487</v>
      </c>
      <c r="J228" s="1" t="s">
        <v>46</v>
      </c>
      <c r="K228" s="18" t="s">
        <v>47</v>
      </c>
      <c r="L228" s="1" t="s">
        <v>1055</v>
      </c>
      <c r="M228" s="18">
        <v>593</v>
      </c>
      <c r="N228" s="18">
        <v>2</v>
      </c>
      <c r="O228" s="1" t="s">
        <v>1488</v>
      </c>
      <c r="P228" s="1" t="s">
        <v>1489</v>
      </c>
      <c r="Q228" s="1" t="s">
        <v>1490</v>
      </c>
      <c r="R228" s="20">
        <v>7389243.16</v>
      </c>
      <c r="S228" s="20">
        <v>7389245.24</v>
      </c>
      <c r="T228" s="20">
        <v>7389253.93</v>
      </c>
      <c r="AA228" s="1" t="s">
        <v>1488</v>
      </c>
      <c r="AC228" s="20">
        <v>7389243.16</v>
      </c>
      <c r="AE228" s="16">
        <f t="shared" si="17"/>
        <v>0.0494563180332322</v>
      </c>
      <c r="AG228" s="18">
        <v>0.2</v>
      </c>
      <c r="AL228" s="32" t="s">
        <v>1491</v>
      </c>
      <c r="AM228" s="32" t="s">
        <v>226</v>
      </c>
      <c r="AO228" s="32" t="s">
        <v>1492</v>
      </c>
    </row>
    <row r="229" ht="168" hidden="1" spans="1:41">
      <c r="A229" s="18">
        <v>62</v>
      </c>
      <c r="B229" s="17">
        <v>45428</v>
      </c>
      <c r="C229" s="18" t="s">
        <v>1014</v>
      </c>
      <c r="D229" s="18" t="s">
        <v>838</v>
      </c>
      <c r="E229" s="46" t="s">
        <v>1493</v>
      </c>
      <c r="F229" s="18">
        <v>8984345.65</v>
      </c>
      <c r="H229" s="1" t="s">
        <v>1466</v>
      </c>
      <c r="I229" s="1" t="s">
        <v>1249</v>
      </c>
      <c r="J229" s="1" t="s">
        <v>46</v>
      </c>
      <c r="K229" s="18" t="s">
        <v>47</v>
      </c>
      <c r="L229" s="1" t="s">
        <v>1055</v>
      </c>
      <c r="M229" s="18">
        <v>595</v>
      </c>
      <c r="N229" s="18">
        <v>2</v>
      </c>
      <c r="O229" s="1" t="s">
        <v>914</v>
      </c>
      <c r="P229" s="1" t="s">
        <v>1494</v>
      </c>
      <c r="Q229" s="1" t="s">
        <v>1495</v>
      </c>
      <c r="R229" s="20">
        <v>8533248.98</v>
      </c>
      <c r="S229" s="20">
        <v>33409.97</v>
      </c>
      <c r="T229" s="20">
        <v>8533492.29</v>
      </c>
      <c r="AA229" s="1" t="s">
        <v>914</v>
      </c>
      <c r="AC229" s="20">
        <v>8533248.98</v>
      </c>
      <c r="AE229" s="16">
        <f t="shared" si="17"/>
        <v>0.0502091846833609</v>
      </c>
      <c r="AG229" s="18">
        <v>0.3</v>
      </c>
      <c r="AL229" s="32" t="s">
        <v>1496</v>
      </c>
      <c r="AM229" s="32" t="s">
        <v>233</v>
      </c>
      <c r="AO229" s="32" t="s">
        <v>1497</v>
      </c>
    </row>
    <row r="230" ht="152" hidden="1" spans="1:41">
      <c r="A230" s="18">
        <v>1</v>
      </c>
      <c r="B230" s="17">
        <v>45581</v>
      </c>
      <c r="C230" s="18" t="s">
        <v>1014</v>
      </c>
      <c r="D230" s="18" t="s">
        <v>42</v>
      </c>
      <c r="E230" s="1" t="s">
        <v>1498</v>
      </c>
      <c r="F230" s="18">
        <v>17356526.36</v>
      </c>
      <c r="H230" s="1" t="s">
        <v>1499</v>
      </c>
      <c r="I230" s="1" t="s">
        <v>85</v>
      </c>
      <c r="J230" s="1" t="s">
        <v>46</v>
      </c>
      <c r="K230" s="18" t="s">
        <v>47</v>
      </c>
      <c r="L230" s="1" t="s">
        <v>1055</v>
      </c>
      <c r="M230" s="18">
        <v>758</v>
      </c>
      <c r="N230" s="18">
        <v>3</v>
      </c>
      <c r="O230" s="1" t="s">
        <v>1500</v>
      </c>
      <c r="P230" s="1" t="s">
        <v>1501</v>
      </c>
      <c r="Q230" s="1" t="s">
        <v>1502</v>
      </c>
      <c r="R230" s="18">
        <v>16838220.4</v>
      </c>
      <c r="S230" s="18">
        <v>16838260.19</v>
      </c>
      <c r="T230" s="18">
        <v>16838305.61</v>
      </c>
      <c r="AA230" s="1" t="s">
        <v>1500</v>
      </c>
      <c r="AB230" s="1"/>
      <c r="AC230" s="20">
        <v>16838220.4</v>
      </c>
      <c r="AD230" s="20"/>
      <c r="AE230" s="16">
        <v>0.0299</v>
      </c>
      <c r="AF230" s="16"/>
      <c r="AL230" s="33" t="s">
        <v>1503</v>
      </c>
      <c r="AM230" s="33" t="s">
        <v>1504</v>
      </c>
      <c r="AO230" s="33" t="s">
        <v>1505</v>
      </c>
    </row>
    <row r="231" ht="219" hidden="1" spans="1:41">
      <c r="A231" s="18">
        <v>2</v>
      </c>
      <c r="B231" s="17">
        <v>45581</v>
      </c>
      <c r="C231" s="18" t="s">
        <v>1014</v>
      </c>
      <c r="D231" s="18" t="s">
        <v>42</v>
      </c>
      <c r="E231" s="1" t="s">
        <v>1506</v>
      </c>
      <c r="F231" s="18">
        <v>14583417.29</v>
      </c>
      <c r="H231" s="1" t="s">
        <v>1499</v>
      </c>
      <c r="I231" s="1" t="s">
        <v>85</v>
      </c>
      <c r="J231" s="1" t="s">
        <v>46</v>
      </c>
      <c r="K231" s="18" t="s">
        <v>47</v>
      </c>
      <c r="L231" s="1" t="s">
        <v>1055</v>
      </c>
      <c r="M231" s="18">
        <v>791</v>
      </c>
      <c r="N231" s="18">
        <v>4</v>
      </c>
      <c r="O231" s="1" t="s">
        <v>1507</v>
      </c>
      <c r="P231" s="1" t="s">
        <v>1508</v>
      </c>
      <c r="Q231" s="1" t="s">
        <v>1509</v>
      </c>
      <c r="R231" s="18">
        <v>14146738.34</v>
      </c>
      <c r="S231" s="18">
        <v>14146856.6</v>
      </c>
      <c r="T231" s="18">
        <v>14146902.87</v>
      </c>
      <c r="AA231" s="1" t="s">
        <v>1507</v>
      </c>
      <c r="AB231" s="1"/>
      <c r="AC231" s="18">
        <v>14146738.34</v>
      </c>
      <c r="AE231" s="16">
        <v>0.0299</v>
      </c>
      <c r="AF231" s="16"/>
      <c r="AL231" s="33" t="s">
        <v>1510</v>
      </c>
      <c r="AM231" s="33" t="s">
        <v>1511</v>
      </c>
      <c r="AO231" s="33" t="s">
        <v>1512</v>
      </c>
    </row>
    <row r="232" ht="168" hidden="1" spans="1:41">
      <c r="A232" s="18">
        <v>3</v>
      </c>
      <c r="B232" s="17">
        <v>45446</v>
      </c>
      <c r="C232" s="18" t="s">
        <v>1014</v>
      </c>
      <c r="D232" s="18" t="s">
        <v>42</v>
      </c>
      <c r="E232" s="1" t="s">
        <v>1513</v>
      </c>
      <c r="F232" s="18">
        <v>20944007.14</v>
      </c>
      <c r="H232" s="1" t="s">
        <v>1514</v>
      </c>
      <c r="I232" s="1" t="s">
        <v>85</v>
      </c>
      <c r="J232" s="1" t="s">
        <v>46</v>
      </c>
      <c r="K232" s="18" t="s">
        <v>47</v>
      </c>
      <c r="L232" s="1" t="s">
        <v>1025</v>
      </c>
      <c r="M232" s="18">
        <v>55</v>
      </c>
      <c r="N232" s="18">
        <v>0</v>
      </c>
      <c r="O232" s="1" t="s">
        <v>1515</v>
      </c>
      <c r="P232" s="1" t="s">
        <v>1239</v>
      </c>
      <c r="Q232" s="1" t="s">
        <v>1516</v>
      </c>
      <c r="R232" s="18">
        <v>20292037.75</v>
      </c>
      <c r="S232" s="18">
        <v>20292601.1</v>
      </c>
      <c r="T232" s="18">
        <v>20293352.34</v>
      </c>
      <c r="AA232" s="1" t="s">
        <v>1515</v>
      </c>
      <c r="AB232" s="1"/>
      <c r="AC232" s="18">
        <v>20292037.75</v>
      </c>
      <c r="AE232" s="16">
        <v>0.0311</v>
      </c>
      <c r="AF232" s="16"/>
      <c r="AG232" s="18">
        <v>0.2</v>
      </c>
      <c r="AL232" s="33" t="s">
        <v>1517</v>
      </c>
      <c r="AM232" s="33" t="s">
        <v>1518</v>
      </c>
      <c r="AO232" s="33" t="s">
        <v>1519</v>
      </c>
    </row>
    <row r="233" ht="152" hidden="1" spans="1:41">
      <c r="A233" s="18">
        <v>4</v>
      </c>
      <c r="B233" s="17">
        <v>45442</v>
      </c>
      <c r="C233" s="18" t="s">
        <v>1014</v>
      </c>
      <c r="D233" s="18" t="s">
        <v>42</v>
      </c>
      <c r="E233" s="1" t="s">
        <v>1520</v>
      </c>
      <c r="F233" s="18">
        <v>13974729.09</v>
      </c>
      <c r="H233" s="1" t="s">
        <v>1499</v>
      </c>
      <c r="I233" s="1" t="s">
        <v>85</v>
      </c>
      <c r="J233" s="1" t="s">
        <v>46</v>
      </c>
      <c r="K233" s="18" t="s">
        <v>47</v>
      </c>
      <c r="L233" s="1" t="s">
        <v>1055</v>
      </c>
      <c r="M233" s="18">
        <v>63</v>
      </c>
      <c r="N233" s="18">
        <v>0</v>
      </c>
      <c r="O233" s="1" t="s">
        <v>1440</v>
      </c>
      <c r="P233" s="1" t="s">
        <v>1400</v>
      </c>
      <c r="Q233" s="1" t="s">
        <v>1370</v>
      </c>
      <c r="R233" s="20">
        <v>13223907</v>
      </c>
      <c r="S233" s="18">
        <v>13221800.27</v>
      </c>
      <c r="T233" s="20">
        <v>13222467</v>
      </c>
      <c r="AA233" s="1" t="s">
        <v>1440</v>
      </c>
      <c r="AB233" s="1"/>
      <c r="AC233" s="20">
        <v>13223907</v>
      </c>
      <c r="AD233" s="20"/>
      <c r="AE233" s="16">
        <v>0.0537</v>
      </c>
      <c r="AF233" s="16"/>
      <c r="AL233" s="33" t="s">
        <v>1521</v>
      </c>
      <c r="AM233" s="33" t="s">
        <v>1522</v>
      </c>
      <c r="AO233" s="33" t="s">
        <v>1523</v>
      </c>
    </row>
    <row r="234" ht="202" hidden="1" spans="1:41">
      <c r="A234" s="18">
        <v>5</v>
      </c>
      <c r="B234" s="17">
        <v>45442</v>
      </c>
      <c r="C234" s="18" t="s">
        <v>1014</v>
      </c>
      <c r="D234" s="18" t="s">
        <v>42</v>
      </c>
      <c r="E234" s="1" t="s">
        <v>1524</v>
      </c>
      <c r="F234" s="18">
        <v>14154244.89</v>
      </c>
      <c r="H234" s="1" t="s">
        <v>1525</v>
      </c>
      <c r="I234" s="1" t="s">
        <v>85</v>
      </c>
      <c r="J234" s="1" t="s">
        <v>46</v>
      </c>
      <c r="K234" s="18" t="s">
        <v>47</v>
      </c>
      <c r="L234" s="1" t="s">
        <v>1055</v>
      </c>
      <c r="M234" s="18">
        <v>63</v>
      </c>
      <c r="N234" s="18">
        <v>0</v>
      </c>
      <c r="O234" s="1" t="s">
        <v>1481</v>
      </c>
      <c r="P234" s="1" t="s">
        <v>1526</v>
      </c>
      <c r="Q234" s="1" t="s">
        <v>1037</v>
      </c>
      <c r="R234" s="20">
        <v>13457007</v>
      </c>
      <c r="S234" s="20">
        <v>13443500</v>
      </c>
      <c r="T234" s="18">
        <v>13439995.87</v>
      </c>
      <c r="AA234" s="1" t="s">
        <v>1481</v>
      </c>
      <c r="AB234" s="1"/>
      <c r="AC234" s="20">
        <v>13457007</v>
      </c>
      <c r="AD234" s="20"/>
      <c r="AE234" s="16">
        <v>0.0493</v>
      </c>
      <c r="AF234" s="16"/>
      <c r="AL234" s="33" t="s">
        <v>1527</v>
      </c>
      <c r="AM234" s="33" t="s">
        <v>1528</v>
      </c>
      <c r="AO234" s="33" t="s">
        <v>1529</v>
      </c>
    </row>
    <row r="235" ht="202" hidden="1" spans="1:41">
      <c r="A235" s="18">
        <v>6</v>
      </c>
      <c r="B235" s="17">
        <v>45441</v>
      </c>
      <c r="C235" s="18" t="s">
        <v>1014</v>
      </c>
      <c r="D235" s="18" t="s">
        <v>42</v>
      </c>
      <c r="E235" s="1" t="s">
        <v>1530</v>
      </c>
      <c r="F235" s="18">
        <v>18343924.02</v>
      </c>
      <c r="H235" s="1" t="s">
        <v>1499</v>
      </c>
      <c r="I235" s="1" t="s">
        <v>85</v>
      </c>
      <c r="J235" s="1" t="s">
        <v>46</v>
      </c>
      <c r="K235" s="18" t="s">
        <v>47</v>
      </c>
      <c r="L235" s="1" t="s">
        <v>1055</v>
      </c>
      <c r="M235" s="18">
        <v>95</v>
      </c>
      <c r="N235" s="18">
        <v>1</v>
      </c>
      <c r="O235" s="1" t="s">
        <v>1531</v>
      </c>
      <c r="P235" s="1" t="s">
        <v>1532</v>
      </c>
      <c r="Q235" s="1" t="s">
        <v>1533</v>
      </c>
      <c r="R235" s="20">
        <v>17309442</v>
      </c>
      <c r="S235" s="18">
        <v>17258680.01</v>
      </c>
      <c r="T235" s="20">
        <v>17793600</v>
      </c>
      <c r="AA235" s="1" t="s">
        <v>1531</v>
      </c>
      <c r="AB235" s="1"/>
      <c r="AC235" s="20">
        <v>17309442</v>
      </c>
      <c r="AD235" s="20"/>
      <c r="AE235" s="16">
        <v>0.0564</v>
      </c>
      <c r="AF235" s="16"/>
      <c r="AL235" s="33" t="s">
        <v>1534</v>
      </c>
      <c r="AM235" s="33" t="s">
        <v>1535</v>
      </c>
      <c r="AO235" s="33" t="s">
        <v>1536</v>
      </c>
    </row>
    <row r="236" ht="202" hidden="1" spans="1:41">
      <c r="A236" s="18">
        <v>7</v>
      </c>
      <c r="B236" s="17">
        <v>45441</v>
      </c>
      <c r="C236" s="18" t="s">
        <v>1014</v>
      </c>
      <c r="D236" s="18" t="s">
        <v>42</v>
      </c>
      <c r="E236" s="1" t="s">
        <v>1537</v>
      </c>
      <c r="F236" s="20">
        <v>12871061.9</v>
      </c>
      <c r="H236" s="1" t="s">
        <v>1525</v>
      </c>
      <c r="I236" s="1" t="s">
        <v>85</v>
      </c>
      <c r="J236" s="1" t="s">
        <v>46</v>
      </c>
      <c r="K236" s="18" t="s">
        <v>47</v>
      </c>
      <c r="L236" s="1" t="s">
        <v>1055</v>
      </c>
      <c r="M236" s="18">
        <v>94</v>
      </c>
      <c r="N236" s="18">
        <v>1</v>
      </c>
      <c r="O236" s="1" t="s">
        <v>1325</v>
      </c>
      <c r="P236" s="1" t="s">
        <v>1538</v>
      </c>
      <c r="Q236" s="1" t="s">
        <v>1539</v>
      </c>
      <c r="R236" s="20">
        <v>12499992.7</v>
      </c>
      <c r="S236" s="18">
        <v>12500091.11</v>
      </c>
      <c r="T236" s="18">
        <v>12500134.98</v>
      </c>
      <c r="AA236" s="1" t="s">
        <v>1325</v>
      </c>
      <c r="AB236" s="1"/>
      <c r="AC236" s="20">
        <v>12499992.7</v>
      </c>
      <c r="AD236" s="20"/>
      <c r="AE236" s="16">
        <v>0.0288</v>
      </c>
      <c r="AF236" s="16"/>
      <c r="AL236" s="33" t="s">
        <v>1540</v>
      </c>
      <c r="AM236" s="33" t="s">
        <v>1541</v>
      </c>
      <c r="AO236" s="33" t="s">
        <v>1542</v>
      </c>
    </row>
    <row r="237" ht="185" hidden="1" spans="1:41">
      <c r="A237" s="18">
        <v>8</v>
      </c>
      <c r="B237" s="17">
        <v>45429</v>
      </c>
      <c r="C237" s="18" t="s">
        <v>1014</v>
      </c>
      <c r="D237" s="18" t="s">
        <v>42</v>
      </c>
      <c r="E237" s="1" t="s">
        <v>1543</v>
      </c>
      <c r="F237" s="18">
        <v>26389551.15</v>
      </c>
      <c r="H237" s="1" t="s">
        <v>1525</v>
      </c>
      <c r="I237" s="1" t="s">
        <v>45</v>
      </c>
      <c r="J237" s="1" t="s">
        <v>46</v>
      </c>
      <c r="K237" s="18" t="s">
        <v>47</v>
      </c>
      <c r="L237" s="1" t="s">
        <v>1025</v>
      </c>
      <c r="M237" s="18">
        <v>61</v>
      </c>
      <c r="N237" s="18">
        <v>2</v>
      </c>
      <c r="O237" s="1" t="s">
        <v>1544</v>
      </c>
      <c r="P237" s="1" t="s">
        <v>1545</v>
      </c>
      <c r="Q237" s="1" t="s">
        <v>1546</v>
      </c>
      <c r="R237" s="18">
        <v>25603434.66</v>
      </c>
      <c r="S237" s="18">
        <v>25603933.41</v>
      </c>
      <c r="T237" s="20">
        <v>25604078</v>
      </c>
      <c r="AA237" s="1" t="s">
        <v>1544</v>
      </c>
      <c r="AB237" s="1"/>
      <c r="AC237" s="18">
        <v>25603434.66</v>
      </c>
      <c r="AE237" s="16">
        <v>0.0298</v>
      </c>
      <c r="AF237" s="16"/>
      <c r="AL237" s="33" t="s">
        <v>1547</v>
      </c>
      <c r="AM237" s="33" t="s">
        <v>1548</v>
      </c>
      <c r="AO237" s="33" t="s">
        <v>1549</v>
      </c>
    </row>
    <row r="238" ht="185" hidden="1" spans="1:41">
      <c r="A238" s="18">
        <v>9</v>
      </c>
      <c r="B238" s="17">
        <v>45429</v>
      </c>
      <c r="C238" s="18" t="s">
        <v>1014</v>
      </c>
      <c r="D238" s="18" t="s">
        <v>42</v>
      </c>
      <c r="E238" s="1" t="s">
        <v>1550</v>
      </c>
      <c r="F238" s="18">
        <v>40936884.98</v>
      </c>
      <c r="H238" s="1" t="s">
        <v>1525</v>
      </c>
      <c r="I238" s="1" t="s">
        <v>45</v>
      </c>
      <c r="J238" s="1" t="s">
        <v>46</v>
      </c>
      <c r="K238" s="18" t="s">
        <v>47</v>
      </c>
      <c r="L238" s="1" t="s">
        <v>1025</v>
      </c>
      <c r="M238" s="18">
        <v>62</v>
      </c>
      <c r="N238" s="18">
        <v>2</v>
      </c>
      <c r="O238" s="1" t="s">
        <v>1304</v>
      </c>
      <c r="P238" s="1" t="s">
        <v>1551</v>
      </c>
      <c r="Q238" s="1" t="s">
        <v>1552</v>
      </c>
      <c r="R238" s="18">
        <v>39714699.92</v>
      </c>
      <c r="S238" s="18">
        <v>39714827.62</v>
      </c>
      <c r="T238" s="18">
        <v>39714953.98</v>
      </c>
      <c r="AA238" s="1" t="s">
        <v>1304</v>
      </c>
      <c r="AB238" s="1"/>
      <c r="AC238" s="18">
        <v>39714699.92</v>
      </c>
      <c r="AE238" s="16">
        <v>0.0299</v>
      </c>
      <c r="AF238" s="16"/>
      <c r="AL238" s="33" t="s">
        <v>1553</v>
      </c>
      <c r="AM238" s="33" t="s">
        <v>1554</v>
      </c>
      <c r="AO238" s="33" t="s">
        <v>1555</v>
      </c>
    </row>
    <row r="239" ht="236" hidden="1" spans="1:41">
      <c r="A239" s="18">
        <v>44</v>
      </c>
      <c r="B239" s="17" t="s">
        <v>1556</v>
      </c>
      <c r="C239" s="18" t="s">
        <v>1014</v>
      </c>
      <c r="D239" s="18" t="s">
        <v>235</v>
      </c>
      <c r="E239" s="46" t="s">
        <v>1557</v>
      </c>
      <c r="F239" s="18">
        <v>13498975.73</v>
      </c>
      <c r="H239" s="1" t="s">
        <v>1558</v>
      </c>
      <c r="I239" s="1" t="s">
        <v>1559</v>
      </c>
      <c r="J239" s="1" t="s">
        <v>46</v>
      </c>
      <c r="K239" s="18" t="s">
        <v>47</v>
      </c>
      <c r="L239" s="1" t="s">
        <v>1055</v>
      </c>
      <c r="M239" s="1">
        <v>664</v>
      </c>
      <c r="N239" s="1">
        <v>0</v>
      </c>
      <c r="O239" s="1" t="s">
        <v>1560</v>
      </c>
      <c r="P239" s="1" t="s">
        <v>1561</v>
      </c>
      <c r="Q239" s="1" t="s">
        <v>1562</v>
      </c>
      <c r="R239" s="20">
        <v>13087588.56</v>
      </c>
      <c r="S239" s="20">
        <v>13087633.62</v>
      </c>
      <c r="T239" s="20">
        <v>13087681.54</v>
      </c>
      <c r="AA239" s="1" t="s">
        <v>1560</v>
      </c>
      <c r="AC239" s="20">
        <v>13087588.56</v>
      </c>
      <c r="AE239" s="16">
        <f t="shared" ref="AE239:AE243" si="18">1-AC239/F239</f>
        <v>0.0304754359314638</v>
      </c>
      <c r="AG239" s="1"/>
      <c r="AL239" s="33" t="s">
        <v>1176</v>
      </c>
      <c r="AM239" s="33" t="s">
        <v>1563</v>
      </c>
      <c r="AN239" s="1"/>
      <c r="AO239" s="33" t="s">
        <v>1564</v>
      </c>
    </row>
    <row r="240" ht="236" hidden="1" spans="1:41">
      <c r="A240" s="18">
        <v>45</v>
      </c>
      <c r="B240" s="17" t="s">
        <v>1556</v>
      </c>
      <c r="C240" s="18" t="s">
        <v>1014</v>
      </c>
      <c r="D240" s="18" t="s">
        <v>235</v>
      </c>
      <c r="E240" s="46" t="s">
        <v>1565</v>
      </c>
      <c r="F240" s="18">
        <v>17350469.42</v>
      </c>
      <c r="H240" s="1" t="s">
        <v>1558</v>
      </c>
      <c r="I240" s="1" t="s">
        <v>1566</v>
      </c>
      <c r="J240" s="1" t="s">
        <v>46</v>
      </c>
      <c r="K240" s="18" t="s">
        <v>47</v>
      </c>
      <c r="L240" s="1" t="s">
        <v>161</v>
      </c>
      <c r="M240" s="1">
        <v>668</v>
      </c>
      <c r="N240" s="1">
        <v>0</v>
      </c>
      <c r="O240" s="1" t="s">
        <v>1567</v>
      </c>
      <c r="P240" s="1" t="s">
        <v>1568</v>
      </c>
      <c r="Q240" s="1" t="s">
        <v>1569</v>
      </c>
      <c r="R240" s="20">
        <v>16825728.49</v>
      </c>
      <c r="S240" s="20">
        <v>16825780.73</v>
      </c>
      <c r="T240" s="20">
        <v>16825793.77</v>
      </c>
      <c r="AA240" s="1" t="s">
        <v>1567</v>
      </c>
      <c r="AC240" s="20">
        <v>16825728.49</v>
      </c>
      <c r="AE240" s="16">
        <f t="shared" si="18"/>
        <v>0.0302436157372855</v>
      </c>
      <c r="AG240" s="1">
        <v>0.2</v>
      </c>
      <c r="AL240" s="33" t="s">
        <v>1570</v>
      </c>
      <c r="AM240" s="33" t="s">
        <v>1571</v>
      </c>
      <c r="AN240" s="1"/>
      <c r="AO240" s="32" t="s">
        <v>1572</v>
      </c>
    </row>
    <row r="241" ht="135" hidden="1" spans="1:41">
      <c r="A241" s="18">
        <v>46</v>
      </c>
      <c r="B241" s="17" t="s">
        <v>1573</v>
      </c>
      <c r="C241" s="18" t="s">
        <v>1014</v>
      </c>
      <c r="D241" s="18" t="s">
        <v>235</v>
      </c>
      <c r="E241" s="46" t="s">
        <v>1574</v>
      </c>
      <c r="F241" s="18">
        <v>34828396.84</v>
      </c>
      <c r="H241" s="1" t="s">
        <v>1558</v>
      </c>
      <c r="I241" s="1" t="s">
        <v>1575</v>
      </c>
      <c r="J241" s="1" t="s">
        <v>46</v>
      </c>
      <c r="K241" s="18" t="s">
        <v>47</v>
      </c>
      <c r="L241" s="1" t="s">
        <v>161</v>
      </c>
      <c r="M241" s="1">
        <v>60</v>
      </c>
      <c r="N241" s="1">
        <v>1</v>
      </c>
      <c r="O241" s="1" t="s">
        <v>1304</v>
      </c>
      <c r="P241" s="1" t="s">
        <v>1576</v>
      </c>
      <c r="Q241" s="1" t="s">
        <v>1577</v>
      </c>
      <c r="R241" s="20">
        <v>33813668</v>
      </c>
      <c r="S241" s="20">
        <v>33813794.22</v>
      </c>
      <c r="T241" s="20">
        <v>33813840</v>
      </c>
      <c r="AA241" s="1" t="s">
        <v>1304</v>
      </c>
      <c r="AC241" s="20">
        <v>33813668</v>
      </c>
      <c r="AE241" s="16">
        <f t="shared" si="18"/>
        <v>0.0291351004371984</v>
      </c>
      <c r="AG241" s="1">
        <v>0.2</v>
      </c>
      <c r="AL241" s="32" t="s">
        <v>1578</v>
      </c>
      <c r="AM241" s="32" t="s">
        <v>1579</v>
      </c>
      <c r="AN241" s="1"/>
      <c r="AO241" s="32" t="s">
        <v>1580</v>
      </c>
    </row>
    <row r="242" ht="152" hidden="1" spans="1:41">
      <c r="A242" s="18">
        <v>47</v>
      </c>
      <c r="B242" s="17" t="s">
        <v>1573</v>
      </c>
      <c r="C242" s="18" t="s">
        <v>1014</v>
      </c>
      <c r="D242" s="18" t="s">
        <v>235</v>
      </c>
      <c r="E242" s="46" t="s">
        <v>1581</v>
      </c>
      <c r="F242" s="18">
        <v>12172644.4</v>
      </c>
      <c r="H242" s="1" t="s">
        <v>1558</v>
      </c>
      <c r="I242" s="1" t="s">
        <v>1575</v>
      </c>
      <c r="J242" s="1" t="s">
        <v>46</v>
      </c>
      <c r="K242" s="18" t="s">
        <v>47</v>
      </c>
      <c r="L242" s="1" t="s">
        <v>161</v>
      </c>
      <c r="M242" s="1">
        <v>62</v>
      </c>
      <c r="N242" s="1">
        <v>0</v>
      </c>
      <c r="O242" s="1" t="s">
        <v>1582</v>
      </c>
      <c r="P242" s="1" t="s">
        <v>1583</v>
      </c>
      <c r="Q242" s="1" t="s">
        <v>1239</v>
      </c>
      <c r="R242" s="20">
        <v>11813427.4</v>
      </c>
      <c r="S242" s="20">
        <v>11813477.95</v>
      </c>
      <c r="T242" s="20">
        <v>11813491.2</v>
      </c>
      <c r="AA242" s="1" t="s">
        <v>1582</v>
      </c>
      <c r="AC242" s="20">
        <v>11813427.4</v>
      </c>
      <c r="AE242" s="16">
        <f t="shared" si="18"/>
        <v>0.0295101859707657</v>
      </c>
      <c r="AG242" s="1">
        <v>0.1</v>
      </c>
      <c r="AL242" s="32" t="s">
        <v>1584</v>
      </c>
      <c r="AM242" s="33" t="s">
        <v>1585</v>
      </c>
      <c r="AN242" s="1"/>
      <c r="AO242" s="33" t="s">
        <v>1586</v>
      </c>
    </row>
    <row r="243" ht="118" hidden="1" spans="1:41">
      <c r="A243" s="18">
        <v>48</v>
      </c>
      <c r="B243" s="17" t="s">
        <v>1573</v>
      </c>
      <c r="C243" s="18" t="s">
        <v>1014</v>
      </c>
      <c r="D243" s="18" t="s">
        <v>235</v>
      </c>
      <c r="E243" s="46" t="s">
        <v>1587</v>
      </c>
      <c r="F243" s="18">
        <v>8540816.29</v>
      </c>
      <c r="H243" s="1" t="s">
        <v>1558</v>
      </c>
      <c r="I243" s="1" t="s">
        <v>1575</v>
      </c>
      <c r="J243" s="1" t="s">
        <v>46</v>
      </c>
      <c r="K243" s="18" t="s">
        <v>47</v>
      </c>
      <c r="L243" s="1" t="s">
        <v>161</v>
      </c>
      <c r="M243" s="1">
        <v>766</v>
      </c>
      <c r="N243" s="1">
        <v>9</v>
      </c>
      <c r="O243" s="1" t="s">
        <v>1588</v>
      </c>
      <c r="P243" s="1" t="s">
        <v>1589</v>
      </c>
      <c r="Q243" s="1" t="s">
        <v>1590</v>
      </c>
      <c r="R243" s="20">
        <v>8280576.98</v>
      </c>
      <c r="S243" s="20">
        <v>8280577.97</v>
      </c>
      <c r="T243" s="20">
        <v>8280596</v>
      </c>
      <c r="AA243" s="1" t="s">
        <v>1588</v>
      </c>
      <c r="AC243" s="20">
        <v>8280576.98</v>
      </c>
      <c r="AE243" s="16">
        <f t="shared" si="18"/>
        <v>0.0304700746584023</v>
      </c>
      <c r="AG243" s="1">
        <v>0.2</v>
      </c>
      <c r="AL243" s="32" t="s">
        <v>1591</v>
      </c>
      <c r="AM243" s="33" t="s">
        <v>128</v>
      </c>
      <c r="AN243" s="1"/>
      <c r="AO243" s="33" t="s">
        <v>1592</v>
      </c>
    </row>
    <row r="244" ht="202" hidden="1" spans="1:41">
      <c r="A244" s="18">
        <v>49</v>
      </c>
      <c r="B244" s="17">
        <v>45587</v>
      </c>
      <c r="C244" s="18" t="s">
        <v>1014</v>
      </c>
      <c r="D244" s="18" t="s">
        <v>528</v>
      </c>
      <c r="E244" s="46" t="s">
        <v>1593</v>
      </c>
      <c r="F244" s="18">
        <v>27729767.82</v>
      </c>
      <c r="H244" s="1" t="s">
        <v>1033</v>
      </c>
      <c r="I244" s="1" t="s">
        <v>1594</v>
      </c>
      <c r="J244" s="1" t="s">
        <v>46</v>
      </c>
      <c r="K244" s="18" t="s">
        <v>47</v>
      </c>
      <c r="L244" s="1" t="s">
        <v>1025</v>
      </c>
      <c r="M244" s="18">
        <v>95</v>
      </c>
      <c r="N244" s="18">
        <v>0</v>
      </c>
      <c r="O244" s="1" t="s">
        <v>1595</v>
      </c>
      <c r="P244" s="18"/>
      <c r="Q244" s="18"/>
      <c r="R244" s="20">
        <v>26351469</v>
      </c>
      <c r="AA244" s="1" t="s">
        <v>1595</v>
      </c>
      <c r="AC244" s="20">
        <v>26351469</v>
      </c>
      <c r="AE244" s="16">
        <f t="shared" ref="AE244:AE252" si="19">1-AC244/F244</f>
        <v>0.049704664999247</v>
      </c>
      <c r="AL244" s="32" t="s">
        <v>1105</v>
      </c>
      <c r="AM244" s="33" t="s">
        <v>136</v>
      </c>
      <c r="AO244" s="33" t="s">
        <v>1596</v>
      </c>
    </row>
    <row r="245" ht="252" hidden="1" spans="1:41">
      <c r="A245" s="18">
        <v>50</v>
      </c>
      <c r="B245" s="17" t="s">
        <v>1597</v>
      </c>
      <c r="C245" s="18" t="s">
        <v>1014</v>
      </c>
      <c r="D245" s="18" t="s">
        <v>528</v>
      </c>
      <c r="E245" s="46" t="s">
        <v>1598</v>
      </c>
      <c r="F245" s="18">
        <v>50655919.58</v>
      </c>
      <c r="H245" s="1" t="s">
        <v>1033</v>
      </c>
      <c r="I245" s="1" t="s">
        <v>1599</v>
      </c>
      <c r="J245" s="1" t="s">
        <v>46</v>
      </c>
      <c r="K245" s="18" t="s">
        <v>47</v>
      </c>
      <c r="L245" s="1" t="s">
        <v>1025</v>
      </c>
      <c r="M245" s="18">
        <v>35</v>
      </c>
      <c r="N245" s="18">
        <v>1</v>
      </c>
      <c r="O245" s="1" t="s">
        <v>1600</v>
      </c>
      <c r="P245" s="18"/>
      <c r="Q245" s="18"/>
      <c r="R245" s="20">
        <v>48125314</v>
      </c>
      <c r="AA245" s="1" t="s">
        <v>1600</v>
      </c>
      <c r="AC245" s="20">
        <v>48125314</v>
      </c>
      <c r="AE245" s="16">
        <f t="shared" si="19"/>
        <v>0.0499567592688444</v>
      </c>
      <c r="AG245" s="18">
        <v>0.3</v>
      </c>
      <c r="AL245" s="33" t="s">
        <v>1110</v>
      </c>
      <c r="AM245" s="33" t="s">
        <v>1601</v>
      </c>
      <c r="AO245" s="33" t="s">
        <v>1602</v>
      </c>
    </row>
    <row r="246" ht="269" hidden="1" spans="1:41">
      <c r="A246" s="18">
        <v>51</v>
      </c>
      <c r="B246" s="17">
        <v>45582</v>
      </c>
      <c r="C246" s="18" t="s">
        <v>1014</v>
      </c>
      <c r="D246" s="18" t="s">
        <v>528</v>
      </c>
      <c r="E246" s="46" t="s">
        <v>1603</v>
      </c>
      <c r="F246" s="18">
        <v>36204512.54</v>
      </c>
      <c r="H246" s="1" t="s">
        <v>1033</v>
      </c>
      <c r="I246" s="1" t="s">
        <v>92</v>
      </c>
      <c r="J246" s="1" t="s">
        <v>46</v>
      </c>
      <c r="K246" s="18" t="s">
        <v>47</v>
      </c>
      <c r="L246" s="1" t="s">
        <v>1025</v>
      </c>
      <c r="M246" s="18">
        <v>93</v>
      </c>
      <c r="N246" s="18">
        <v>3</v>
      </c>
      <c r="O246" s="1" t="s">
        <v>1604</v>
      </c>
      <c r="P246" s="18"/>
      <c r="Q246" s="18"/>
      <c r="R246" s="20">
        <v>34396887</v>
      </c>
      <c r="AA246" s="1" t="s">
        <v>1604</v>
      </c>
      <c r="AC246" s="20">
        <v>34396887</v>
      </c>
      <c r="AE246" s="16">
        <f t="shared" si="19"/>
        <v>0.0499281833446279</v>
      </c>
      <c r="AG246" s="18">
        <v>0.3</v>
      </c>
      <c r="AL246" s="33" t="s">
        <v>1605</v>
      </c>
      <c r="AM246" s="33" t="s">
        <v>152</v>
      </c>
      <c r="AO246" s="32" t="s">
        <v>1606</v>
      </c>
    </row>
    <row r="247" ht="252" hidden="1" spans="1:41">
      <c r="A247" s="18">
        <v>52</v>
      </c>
      <c r="B247" s="17">
        <v>45581</v>
      </c>
      <c r="C247" s="18" t="s">
        <v>1014</v>
      </c>
      <c r="D247" s="18" t="s">
        <v>528</v>
      </c>
      <c r="E247" s="46" t="s">
        <v>1607</v>
      </c>
      <c r="F247" s="18">
        <v>31260610.6</v>
      </c>
      <c r="H247" s="1" t="s">
        <v>1033</v>
      </c>
      <c r="I247" s="1" t="s">
        <v>1399</v>
      </c>
      <c r="J247" s="1" t="s">
        <v>46</v>
      </c>
      <c r="K247" s="18" t="s">
        <v>47</v>
      </c>
      <c r="L247" s="1" t="s">
        <v>1025</v>
      </c>
      <c r="M247" s="18">
        <v>89</v>
      </c>
      <c r="N247" s="18">
        <v>0</v>
      </c>
      <c r="O247" s="1" t="s">
        <v>1344</v>
      </c>
      <c r="P247" s="18"/>
      <c r="Q247" s="18"/>
      <c r="R247" s="20">
        <v>29703950</v>
      </c>
      <c r="AA247" s="1" t="s">
        <v>1344</v>
      </c>
      <c r="AC247" s="20">
        <v>29703950</v>
      </c>
      <c r="AE247" s="16">
        <f t="shared" si="19"/>
        <v>0.0497962314274182</v>
      </c>
      <c r="AL247" s="32" t="s">
        <v>1608</v>
      </c>
      <c r="AM247" s="33" t="s">
        <v>158</v>
      </c>
      <c r="AO247" s="32" t="s">
        <v>1609</v>
      </c>
    </row>
    <row r="248" ht="168" hidden="1" spans="1:41">
      <c r="A248" s="18">
        <v>53</v>
      </c>
      <c r="B248" s="17">
        <v>45467</v>
      </c>
      <c r="C248" s="18" t="s">
        <v>1014</v>
      </c>
      <c r="D248" s="18" t="s">
        <v>528</v>
      </c>
      <c r="E248" s="46" t="s">
        <v>1610</v>
      </c>
      <c r="F248" s="18">
        <v>12540967.75</v>
      </c>
      <c r="H248" s="1" t="s">
        <v>1097</v>
      </c>
      <c r="I248" s="1" t="s">
        <v>1611</v>
      </c>
      <c r="J248" s="1" t="s">
        <v>46</v>
      </c>
      <c r="K248" s="18" t="s">
        <v>47</v>
      </c>
      <c r="L248" s="1" t="s">
        <v>1055</v>
      </c>
      <c r="M248" s="18">
        <v>64</v>
      </c>
      <c r="N248" s="18">
        <v>2</v>
      </c>
      <c r="O248" s="1" t="s">
        <v>1612</v>
      </c>
      <c r="P248" s="18"/>
      <c r="Q248" s="18"/>
      <c r="R248" s="20">
        <v>11914288</v>
      </c>
      <c r="AA248" s="1" t="s">
        <v>1612</v>
      </c>
      <c r="AC248" s="20">
        <v>11914288</v>
      </c>
      <c r="AE248" s="16">
        <f t="shared" si="19"/>
        <v>0.0499706053386511</v>
      </c>
      <c r="AG248" s="18">
        <v>0.3</v>
      </c>
      <c r="AL248" s="33" t="s">
        <v>1613</v>
      </c>
      <c r="AM248" s="33" t="s">
        <v>165</v>
      </c>
      <c r="AO248" s="33" t="s">
        <v>1614</v>
      </c>
    </row>
    <row r="249" ht="168" hidden="1" spans="1:41">
      <c r="A249" s="18">
        <v>54</v>
      </c>
      <c r="B249" s="17" t="s">
        <v>1615</v>
      </c>
      <c r="C249" s="18" t="s">
        <v>1014</v>
      </c>
      <c r="D249" s="18" t="s">
        <v>528</v>
      </c>
      <c r="E249" s="46" t="s">
        <v>1616</v>
      </c>
      <c r="F249" s="18">
        <v>14616072.86</v>
      </c>
      <c r="H249" s="1" t="s">
        <v>1097</v>
      </c>
      <c r="I249" s="1" t="s">
        <v>1617</v>
      </c>
      <c r="J249" s="1" t="s">
        <v>46</v>
      </c>
      <c r="K249" s="18" t="s">
        <v>47</v>
      </c>
      <c r="L249" s="1" t="s">
        <v>161</v>
      </c>
      <c r="M249" s="18">
        <v>66</v>
      </c>
      <c r="N249" s="18">
        <v>3</v>
      </c>
      <c r="O249" s="1" t="s">
        <v>1440</v>
      </c>
      <c r="P249" s="18"/>
      <c r="Q249" s="18"/>
      <c r="R249" s="20">
        <v>13887311</v>
      </c>
      <c r="AA249" s="1" t="s">
        <v>1440</v>
      </c>
      <c r="AC249" s="20">
        <v>13887311</v>
      </c>
      <c r="AE249" s="16">
        <f t="shared" si="19"/>
        <v>0.0498603056361611</v>
      </c>
      <c r="AG249" s="18">
        <v>0.3</v>
      </c>
      <c r="AL249" s="33" t="s">
        <v>1618</v>
      </c>
      <c r="AM249" s="33" t="s">
        <v>174</v>
      </c>
      <c r="AO249" s="33" t="s">
        <v>1619</v>
      </c>
    </row>
    <row r="250" ht="168" hidden="1" spans="1:41">
      <c r="A250" s="18">
        <v>55</v>
      </c>
      <c r="B250" s="17" t="s">
        <v>1620</v>
      </c>
      <c r="C250" s="18" t="s">
        <v>1014</v>
      </c>
      <c r="D250" s="18" t="s">
        <v>528</v>
      </c>
      <c r="E250" s="46" t="s">
        <v>1621</v>
      </c>
      <c r="F250" s="18">
        <v>20258952.67</v>
      </c>
      <c r="H250" s="1" t="s">
        <v>1097</v>
      </c>
      <c r="I250" s="1" t="s">
        <v>918</v>
      </c>
      <c r="J250" s="1" t="s">
        <v>46</v>
      </c>
      <c r="K250" s="18" t="s">
        <v>47</v>
      </c>
      <c r="L250" s="1" t="s">
        <v>161</v>
      </c>
      <c r="M250" s="18">
        <v>67</v>
      </c>
      <c r="N250" s="18">
        <v>2</v>
      </c>
      <c r="O250" s="1" t="s">
        <v>1622</v>
      </c>
      <c r="P250" s="18"/>
      <c r="Q250" s="18"/>
      <c r="R250" s="20">
        <v>19262697</v>
      </c>
      <c r="AA250" s="1" t="s">
        <v>1622</v>
      </c>
      <c r="AC250" s="20">
        <v>19262697</v>
      </c>
      <c r="AE250" s="16">
        <f t="shared" si="19"/>
        <v>0.0491760697716266</v>
      </c>
      <c r="AG250" s="18">
        <v>0.4</v>
      </c>
      <c r="AL250" s="33" t="s">
        <v>1623</v>
      </c>
      <c r="AM250" s="33" t="s">
        <v>1624</v>
      </c>
      <c r="AO250" s="33" t="s">
        <v>1625</v>
      </c>
    </row>
    <row r="251" ht="168" hidden="1" spans="1:41">
      <c r="A251" s="18">
        <v>56</v>
      </c>
      <c r="B251" s="17">
        <v>45461</v>
      </c>
      <c r="C251" s="18" t="s">
        <v>1014</v>
      </c>
      <c r="D251" s="18" t="s">
        <v>528</v>
      </c>
      <c r="E251" s="46" t="s">
        <v>1626</v>
      </c>
      <c r="F251" s="18">
        <v>16058149.08</v>
      </c>
      <c r="H251" s="1" t="s">
        <v>1097</v>
      </c>
      <c r="I251" s="1" t="s">
        <v>1627</v>
      </c>
      <c r="J251" s="1" t="s">
        <v>46</v>
      </c>
      <c r="K251" s="18" t="s">
        <v>47</v>
      </c>
      <c r="L251" s="1" t="s">
        <v>161</v>
      </c>
      <c r="M251" s="18">
        <v>69</v>
      </c>
      <c r="N251" s="18">
        <v>0</v>
      </c>
      <c r="O251" s="1" t="s">
        <v>1239</v>
      </c>
      <c r="P251" s="18"/>
      <c r="Q251" s="18"/>
      <c r="R251" s="20">
        <v>15249285.12</v>
      </c>
      <c r="AA251" s="1" t="s">
        <v>1239</v>
      </c>
      <c r="AC251" s="20">
        <v>15249285.12</v>
      </c>
      <c r="AE251" s="16">
        <f t="shared" si="19"/>
        <v>0.0503709335347633</v>
      </c>
      <c r="AG251" s="18">
        <v>0.1</v>
      </c>
      <c r="AL251" s="33" t="s">
        <v>1628</v>
      </c>
      <c r="AM251" s="33" t="s">
        <v>189</v>
      </c>
      <c r="AO251" s="33" t="s">
        <v>1629</v>
      </c>
    </row>
    <row r="252" ht="168" hidden="1" spans="1:41">
      <c r="A252" s="18">
        <v>57</v>
      </c>
      <c r="B252" s="17">
        <v>45460</v>
      </c>
      <c r="C252" s="18" t="s">
        <v>1014</v>
      </c>
      <c r="D252" s="18" t="s">
        <v>528</v>
      </c>
      <c r="E252" s="46" t="s">
        <v>1630</v>
      </c>
      <c r="F252" s="18">
        <v>29379173.48</v>
      </c>
      <c r="H252" s="1" t="s">
        <v>1097</v>
      </c>
      <c r="I252" s="1" t="s">
        <v>469</v>
      </c>
      <c r="J252" s="1" t="s">
        <v>46</v>
      </c>
      <c r="K252" s="18" t="s">
        <v>47</v>
      </c>
      <c r="L252" s="1" t="s">
        <v>161</v>
      </c>
      <c r="M252" s="18">
        <v>68</v>
      </c>
      <c r="N252" s="18">
        <v>7</v>
      </c>
      <c r="O252" s="1" t="s">
        <v>1631</v>
      </c>
      <c r="P252" s="18"/>
      <c r="Q252" s="18"/>
      <c r="R252" s="20">
        <v>27906060</v>
      </c>
      <c r="AA252" s="1" t="s">
        <v>1631</v>
      </c>
      <c r="AC252" s="20">
        <v>27906060</v>
      </c>
      <c r="AE252" s="16">
        <f t="shared" si="19"/>
        <v>0.0501414201118635</v>
      </c>
      <c r="AG252" s="18">
        <v>0.3</v>
      </c>
      <c r="AL252" s="33" t="s">
        <v>1632</v>
      </c>
      <c r="AM252" s="33" t="s">
        <v>1633</v>
      </c>
      <c r="AO252" s="33" t="s">
        <v>1634</v>
      </c>
    </row>
  </sheetData>
  <autoFilter xmlns:etc="http://www.wps.cn/officeDocument/2017/etCustomData" ref="A1:AO252" etc:filterBottomFollowUsedRange="0">
    <filterColumn colId="2">
      <customFilters>
        <customFilter operator="equal" val="农业农村"/>
      </customFilters>
    </filterColumn>
    <filterColumn colId="3">
      <customFilters>
        <customFilter operator="equal" val="全椒县"/>
      </customFilters>
    </filterColumn>
    <extLst/>
  </autoFilter>
  <hyperlinks>
    <hyperlink ref="AL2" r:id="rId1" display="1.评标情况一览表.pdf"/>
    <hyperlink ref="AL3" r:id="rId2" display="2.评标情况一览表.pdf"/>
    <hyperlink ref="AM2" r:id="rId3" display="1.招标文件正文(1).pdf"/>
    <hyperlink ref="AM3" r:id="rId4" display="2.招标文件正文(1).pdf"/>
    <hyperlink ref="AL4" r:id="rId5" display="3.评标情况一览表.pdf"/>
    <hyperlink ref="AM4" r:id="rId6" display="3.招标文件正文(1).pdf"/>
    <hyperlink ref="AL5" r:id="rId7" display="4.评标情况一览表.pdf"/>
    <hyperlink ref="AM5" r:id="rId8" display="4.招标文件正文(1).pdf"/>
    <hyperlink ref="AL6" r:id="rId9" display="5.评标情况一览表.pdf"/>
    <hyperlink ref="AM6" r:id="rId10" display="5.招标文件正文(1).pdf"/>
    <hyperlink ref="AL7" r:id="rId11" display="6.评标情况一览表.pdf"/>
    <hyperlink ref="AM7" r:id="rId12" display="6.招标文件正文(1).pdf"/>
    <hyperlink ref="AL8" r:id="rId13" display="7.评标情况一览表.xlsx"/>
    <hyperlink ref="AM8" r:id="rId14" display="7.招标文件正文(1).pdf"/>
    <hyperlink ref="AL9" r:id="rId15" display="8.评标情况一览表.pdf"/>
    <hyperlink ref="AM9" r:id="rId16" display="8.招标文件正文(1).pdf"/>
    <hyperlink ref="AL10" r:id="rId17" display="9.评标情况一览表.pdf"/>
    <hyperlink ref="AM10" r:id="rId18" display="9.招标文件正文(1).pdf"/>
    <hyperlink ref="AL11" r:id="rId19" display="10.评标情况一览表(1).pdf"/>
    <hyperlink ref="AM11" r:id="rId20" display="10.招标文件正文.pdf"/>
    <hyperlink ref="AL12" r:id="rId21" display="11.评标情况一览表.xlsx"/>
    <hyperlink ref="AM12" r:id="rId22" display="11.招标文件正文(1).pdf"/>
    <hyperlink ref="AL13" r:id="rId23" display="12.评标情况一览表.pdf"/>
    <hyperlink ref="AM13" r:id="rId24" display="12.招标文件正文(1).pdf"/>
    <hyperlink ref="AL14" r:id="rId25" display="13.评标情况一览表.pdf"/>
    <hyperlink ref="AM14" r:id="rId26" display="13.招标文件正文(1).pdf"/>
    <hyperlink ref="AL15" r:id="rId27" display="14.评标情况一览表.pdf"/>
    <hyperlink ref="AM15" r:id="rId28" display="14.招标文件正文(1).pdf"/>
    <hyperlink ref="AL16" r:id="rId29" display="15.附件：评标情况一览表.xlsx"/>
    <hyperlink ref="AM16" r:id="rId30" display="15.招标文件正文(1).pdf"/>
    <hyperlink ref="AL17" r:id="rId31" display="16.附件：评标情况一览表.xlsx"/>
    <hyperlink ref="AM17" r:id="rId32" display="16.招标文件正文(1).pdf"/>
    <hyperlink ref="AL18" r:id="rId33" display="17.附件：评标情况一览表.xlsx"/>
    <hyperlink ref="AM18" r:id="rId34" display="17.招标文件正文(1).pdf"/>
    <hyperlink ref="AL19" r:id="rId35" display="18.附件：评标情况一览表.xlsx"/>
    <hyperlink ref="AM19" r:id="rId36" display="18.招标文件正文(1).pdf"/>
    <hyperlink ref="AL20" r:id="rId37" display="19.附件：评标情况一览表.xlsx"/>
    <hyperlink ref="AM20" r:id="rId38" display="19.招标文件正文(1).pdf"/>
    <hyperlink ref="AL21" r:id="rId39" display="20.附件：评标情况一览表.xlsx"/>
    <hyperlink ref="AM21" r:id="rId40" display="20.招标文件正文(1).pdf"/>
    <hyperlink ref="AL22" r:id="rId41" display="21.附件：评标情况一览表.xlsx"/>
    <hyperlink ref="AM22" r:id="rId42" display="21.招标文件正文.pdf"/>
    <hyperlink ref="AL23" r:id="rId43" display="22.附件评标情况一览表.xlsx"/>
    <hyperlink ref="AM23" r:id="rId44" display="22.招标文件正文(1).pdf"/>
    <hyperlink ref="AL24" r:id="rId45" display="23.附件评标情况一览表.xlsx"/>
    <hyperlink ref="AM24" r:id="rId46" display="23.招标文件正文(1).pdf"/>
    <hyperlink ref="AL25" r:id="rId47" display="24.附件：评标情况一览表.pdf"/>
    <hyperlink ref="AM25" r:id="rId48" display="24.招标文件正文(1).pdf"/>
    <hyperlink ref="AL26" r:id="rId49" display="25.附件：评标情况一览表.pdf"/>
    <hyperlink ref="AM26" r:id="rId50" display="25.招标文件正文(1).pdf"/>
    <hyperlink ref="AL27" r:id="rId51" display="26.附件：评标情况一览表.xlsx"/>
    <hyperlink ref="AM27" r:id="rId52" display="26.招标文件正文(1).pdf"/>
    <hyperlink ref="AL28" r:id="rId53" display="27.附件：评标情况一览表.xlsx"/>
    <hyperlink ref="AM28" r:id="rId54" display="27.招标文件正文(1).pdf"/>
    <hyperlink ref="AL29" r:id="rId55" display="28.附件：评标情况一览表.pdf"/>
    <hyperlink ref="AM29" r:id="rId56" display="28.招标文件正文(1).pdf"/>
    <hyperlink ref="AL30" r:id="rId57" display="29.附件：评标情况一览表.pdf"/>
    <hyperlink ref="AM30" r:id="rId58" display="29.招标文件正文.pdf"/>
    <hyperlink ref="AL31" r:id="rId59" display="30.附件：评标情况一览表.xlsx"/>
    <hyperlink ref="AM31" r:id="rId60" display="30.招标文件正文.pdf"/>
    <hyperlink ref="AL32" r:id="rId61" display="31.评标情况一览表2025.6.6(1)(1).xls"/>
    <hyperlink ref="AM32" r:id="rId62" display="31.武岗镇标准化厂房项目招标文件.pdf"/>
    <hyperlink ref="AL33" r:id="rId63" display="32.评标情况一览表2025.6.4(1).xls"/>
    <hyperlink ref="AM33" r:id="rId64" display="32.招标文件正文(1).pdf"/>
    <hyperlink ref="AL34" r:id="rId65" display="33.评标情况一览表-全椒县新建粮食标准化储备仓建设项目（白酒粮站）EPC.xlsx"/>
    <hyperlink ref="AM34" r:id="rId66" display="33.招标文件正文(1).pdf"/>
    <hyperlink ref="AL35" r:id="rId67" display="34.(评标情况一览表)(1)(1).xls"/>
    <hyperlink ref="AM35" r:id="rId68" display="34.招标文件正文.pdf"/>
    <hyperlink ref="AL36" r:id="rId69" display="35.附件：评标情况一览表.xls"/>
    <hyperlink ref="AM36" r:id="rId70" display="35.招标文件正文.pdf"/>
    <hyperlink ref="AL37" r:id="rId71" display="36.评标情况一览表-西王镇2025年标准化养殖场(笼养)建设项目.xlsx"/>
    <hyperlink ref="AM37" r:id="rId72" display="36.招标文件正文(1).pdf"/>
    <hyperlink ref="AL38" r:id="rId73" display="37.评标情况一览表-全椒县科创中心弱电建设项目.xlsx"/>
    <hyperlink ref="AM38" r:id="rId74" display="37.招标文件正文(1).pdf"/>
    <hyperlink ref="AL39" r:id="rId75" display="38.评标情况一览表.xls"/>
    <hyperlink ref="AM39" r:id="rId76" display="38.招标文件正文(1).pdf"/>
    <hyperlink ref="AL40" r:id="rId77" display="39.(评标情况一览表).xls"/>
    <hyperlink ref="AM40" r:id="rId78" display="39.招标文件正文(1).pdf"/>
    <hyperlink ref="AL41" r:id="rId79" display="40.评标情况一览表-武岗镇标准化养殖场建设项目设计、施工总承包运营（EPCO）.xlsx"/>
    <hyperlink ref="AM41" r:id="rId80" display="40.招标文件正文(1).pdf"/>
    <hyperlink ref="AL42" r:id="rId81" display="41.(评标情况一览表).xls"/>
    <hyperlink ref="AM42" r:id="rId82" display="41.招标文件正文(1).pdf"/>
    <hyperlink ref="AL43" r:id="rId83" display="42.(评标情况一览表).xls"/>
    <hyperlink ref="AM43" r:id="rId84" display="42.招标文件正文(1).pdf"/>
    <hyperlink ref="AL44" r:id="rId85" display="43.评标情况一览表-马厂镇标准化养殖场建设项目设计、施工总承包运营（EPCO).xlsx"/>
    <hyperlink ref="AM44" r:id="rId86" display="43.招标文件正文(1).pdf"/>
    <hyperlink ref="AL45" r:id="rId87" display="44.(评标情况一览表).xls"/>
    <hyperlink ref="AM45" r:id="rId88" display="44.招标文件正文(1).pdf"/>
    <hyperlink ref="AL46" r:id="rId89" display="45.(评标情况一览表).xls"/>
    <hyperlink ref="AM46" r:id="rId90" display="45.招标文件正文.pdf"/>
    <hyperlink ref="AL47" r:id="rId91" display="46.评标情况一览表-滁州市农业科技研发基地项目（农业科研教学试验田及农业设施建设项目一期）EPC.xlsx"/>
    <hyperlink ref="AM47" r:id="rId92" display="46.招标文件正文.pdf"/>
    <hyperlink ref="AL48" r:id="rId93" display="47.附件：评标情况一览表.xlsx"/>
    <hyperlink ref="AM48" r:id="rId94" display="47.招标文件正文(1).pdf"/>
    <hyperlink ref="AL49" r:id="rId95" display="48.评标情况一览表-全椒县快递分拣中心项目.xlsx"/>
    <hyperlink ref="AM49" r:id="rId96" display="48.招标文件正文(1).pdf"/>
    <hyperlink ref="AL50" r:id="rId97" display="49.评标情况一览表-全椒县周岗烈士陵园改造提升项目（EPC）.xlsx"/>
    <hyperlink ref="AM50" r:id="rId98" display="49.招标文件正文(1).pdf"/>
    <hyperlink ref="AL51" r:id="rId99" display="50.评标情况一览表.xlsx"/>
    <hyperlink ref="AM51" r:id="rId100" display="50.招标文件正文.pdf"/>
    <hyperlink ref="AL52" r:id="rId101" display="51.评标情况一览表.xls"/>
    <hyperlink ref="AM52" r:id="rId102" display="51.招标文件正文(1).pdf"/>
    <hyperlink ref="AL53" r:id="rId103" display="52.评标情况一览表.xls"/>
    <hyperlink ref="AM53" r:id="rId104" display="52.招标文件正文.pdf"/>
    <hyperlink ref="AL54" r:id="rId105" display="53.评标情况一览表(1).xlsx"/>
    <hyperlink ref="AM54" r:id="rId106" display="53.招标文件正文.pdf"/>
    <hyperlink ref="AL55" r:id="rId107" display="54.评标情况一览表.xlsx"/>
    <hyperlink ref="AM55" r:id="rId108" display="54.招标文件正文.pdf"/>
    <hyperlink ref="AL56" r:id="rId109" display="55.评标情况一览表.xlsx"/>
    <hyperlink ref="AM56" r:id="rId110" display="55.招标文件正文.pdf"/>
    <hyperlink ref="AL57" r:id="rId111" display="56.评标情况一览表.xlsx"/>
    <hyperlink ref="AM57" r:id="rId112" display="56.招标文件正文(1).pdf"/>
    <hyperlink ref="AL58" r:id="rId113" display="57.评标情况一览表.xlsx"/>
    <hyperlink ref="AM58" r:id="rId114" display="57.招标文件正文(1).pdf"/>
    <hyperlink ref="AL59" r:id="rId115" display="58.评标情况一览表.xlsx"/>
    <hyperlink ref="AM59" r:id="rId116" display="58.招标文件正文(1).pdf"/>
    <hyperlink ref="AL60" r:id="rId117" display="59.评标情况一览表(1).xls"/>
    <hyperlink ref="AM60" r:id="rId118" display="59.招标文件正文(1).pdf"/>
    <hyperlink ref="AL61" r:id="rId119" display="60.评标情况一览表.xlsx"/>
    <hyperlink ref="AM61" r:id="rId120" display="60.招标文件正文(1).pdf"/>
    <hyperlink ref="AL62" r:id="rId121" display="61.评标情况一览表.xlsx"/>
    <hyperlink ref="AM62" r:id="rId122" display="61.招标文件正文(1).pdf"/>
    <hyperlink ref="AL63" r:id="rId123" display="62.评标情况一览表.xlsx"/>
    <hyperlink ref="AM63" r:id="rId124" display="62.招标文件正文(1).pdf"/>
    <hyperlink ref="AL64" r:id="rId125" display="63.评标情况一览表.xlsx"/>
    <hyperlink ref="AM64" r:id="rId126" display="63..招标文件正文.pdf"/>
    <hyperlink ref="AL65" r:id="rId127" display="64.评标情况一览表.xlsx"/>
    <hyperlink ref="AM65" r:id="rId128" display="64.招标文件正文(1).pdf"/>
    <hyperlink ref="AL66" r:id="rId129" display="65.评标情况一览表.xlsx"/>
    <hyperlink ref="AM66" r:id="rId130" display="65.招标文件正文(1).pdf"/>
    <hyperlink ref="AL67" r:id="rId131" display="66.评标情况一览表.xls"/>
    <hyperlink ref="AM67" r:id="rId132" display="66.招标文件正文(1).pdf"/>
    <hyperlink ref="AL68" r:id="rId133" display="67.评标情况一览表.xls"/>
    <hyperlink ref="AM68" r:id="rId134" display="67.招标文件正文(1).pdf"/>
    <hyperlink ref="AL69" r:id="rId135" display="68.评标情况一览表.xls"/>
    <hyperlink ref="AM69" r:id="rId136" display="68.招标文件正文(1).pdf"/>
    <hyperlink ref="AL70" r:id="rId137" display="69.评标情况一览表.xlsx"/>
    <hyperlink ref="AM70" r:id="rId138" display="69.招标文件正文(1).pdf"/>
    <hyperlink ref="AL71" r:id="rId139" display="70.评标情况一览表.xlsx"/>
    <hyperlink ref="AM71" r:id="rId140" display="70.招标文件正文(1).pdf"/>
    <hyperlink ref="AL72" r:id="rId141" display="71.评标情况一览表.xls"/>
    <hyperlink ref="AM72" r:id="rId142" display="71.招标文件正文(1).pdf"/>
    <hyperlink ref="AL73" r:id="rId143" display="72.评标情况一览表.xlsx"/>
    <hyperlink ref="AM73" r:id="rId144" display="72.招标文件正文(1).pdf"/>
    <hyperlink ref="AL74" r:id="rId145" display="73.评标情况一览表.xlsx"/>
    <hyperlink ref="AM74" r:id="rId146" display="73.招标文件正文(1).pdf"/>
    <hyperlink ref="AL75" r:id="rId147" display="74.评标情况一览表.xls"/>
    <hyperlink ref="AM75" r:id="rId148" display="74.招标文件正文(1).pdf"/>
    <hyperlink ref="AL76" r:id="rId149" display="75.评标情况一览表.xlsx"/>
    <hyperlink ref="AM76" r:id="rId150" display="75.招标文件正文(1).pdf"/>
    <hyperlink ref="AL77" r:id="rId151" display="76.评标情况一览表-公辅七标段二次.xlsx"/>
    <hyperlink ref="AM77" r:id="rId152" display="76.招标文件正文(1).pdf"/>
    <hyperlink ref="AL78" r:id="rId153" display="77.一标段评标情况一览表.xlsx"/>
    <hyperlink ref="AM78" r:id="rId154" display="77.招标文件正文(1).pdf"/>
    <hyperlink ref="AL79" r:id="rId155" display="78.二标段评标情况一览表.xlsx"/>
    <hyperlink ref="AM79" r:id="rId156" display="78.招标文件正文(1).pdf"/>
    <hyperlink ref="AL80" r:id="rId157" display="79.评标情况一览表.xlsx"/>
    <hyperlink ref="AM80" r:id="rId158" display="79.招标文件正文(1).pdf"/>
    <hyperlink ref="AL81" r:id="rId159" display="80.评标情况一览表.xlsx"/>
    <hyperlink ref="AM81" r:id="rId160" display="80.招标文件正文.pdf"/>
    <hyperlink ref="AL82" r:id="rId161" display="81标评标情况一览表.xlsx"/>
    <hyperlink ref="AM82" r:id="rId162" display="81.招标文件正文(1).pdf"/>
    <hyperlink ref="AL83" r:id="rId163" display="82.标评标情况一览表.xlsx"/>
    <hyperlink ref="AM83" r:id="rId164" display="82.招标文件正文(1).pdf"/>
    <hyperlink ref="AL84" r:id="rId165" display="83.标评标情况一览表.xlsx"/>
    <hyperlink ref="AM84" r:id="rId166" display="83招标文件正文.pdf"/>
    <hyperlink ref="AL85" r:id="rId167" display="84.标评标情况一览表.xlsx"/>
    <hyperlink ref="AM85" r:id="rId168" display="84.招标文件正文(1).pdf"/>
    <hyperlink ref="AL86" r:id="rId169" display="85.评标情况一览表.xlsx"/>
    <hyperlink ref="AM86" r:id="rId170" display="85.招标文件正文.pdf"/>
    <hyperlink ref="AL87" r:id="rId171" display="86.1标评标情况一览表.xlsx"/>
    <hyperlink ref="AM87" r:id="rId172" display="86.招标文件正文(1).pdf"/>
    <hyperlink ref="AL88" r:id="rId173" display="87.3标评标情况一览表.xlsx"/>
    <hyperlink ref="AM88" r:id="rId174" display="87.招标文件正文(1).pdf"/>
    <hyperlink ref="AL89" r:id="rId175" display="88.5标评标情况一览表.xlsx"/>
    <hyperlink ref="AM89" r:id="rId176" display="88.招标文件正文(1).pdf"/>
    <hyperlink ref="AL90" r:id="rId177" display="89.4标评标情况一览表.xlsx"/>
    <hyperlink ref="AM90" r:id="rId178" display="89.招标文件正文(1).pdf"/>
    <hyperlink ref="AL91" r:id="rId179" display="90.2标评标情况一览表.xlsx"/>
    <hyperlink ref="AM91" r:id="rId180" display="90.招标文件正文(1).pdf"/>
    <hyperlink ref="AL92" r:id="rId181" display="91.评标情况一览表-科技学校一期.xlsx"/>
    <hyperlink ref="AM92" r:id="rId182" display="91.招标文件正文(1).pdf"/>
    <hyperlink ref="AL93" r:id="rId183" display="92.4标评标情况一览表.xlsx"/>
    <hyperlink ref="AM93" r:id="rId184" display="92-98招标文件正文.pdf"/>
    <hyperlink ref="AM94" r:id="rId184" display="92-98招标文件正文.pdf"/>
    <hyperlink ref="AL94" r:id="rId185" display="93.5标评标情况一览表.xlsx"/>
    <hyperlink ref="AL95" r:id="rId186" display="94.6标评标情况一览表.xlsx"/>
    <hyperlink ref="AL96" r:id="rId187" display="95.7标评标情况一览表.xlsx"/>
    <hyperlink ref="AL97" r:id="rId188" display="96.3标评标情况一览表.xlsx"/>
    <hyperlink ref="AL98" r:id="rId189" display="97.2标评标情况一览表.xlsx"/>
    <hyperlink ref="AL99" r:id="rId190" display="98.1标评标情况一览表.xlsx"/>
    <hyperlink ref="AM95" r:id="rId184" display="92-98招标文件正文.pdf"/>
    <hyperlink ref="AM96" r:id="rId184" display="92-98招标文件正文.pdf"/>
    <hyperlink ref="AM97" r:id="rId184" display="92-98招标文件正文.pdf"/>
    <hyperlink ref="AM98" r:id="rId184" display="92-98招标文件正文.pdf"/>
    <hyperlink ref="AM99" r:id="rId184" display="92-98招标文件正文.pdf"/>
    <hyperlink ref="AL100" r:id="rId191" display="99.评标情况一览表-老旧小区二标段.xlsx"/>
    <hyperlink ref="AM100" r:id="rId192" display="99-100招标文件正文.pdf"/>
    <hyperlink ref="AL101" r:id="rId193" display="100.评标情况一览表-老旧小区一标段.xlsx"/>
    <hyperlink ref="AM101" r:id="rId192" display="99-100招标文件正文.pdf"/>
    <hyperlink ref="AL102" r:id="rId194" display="101评标情况一览表.xlsx"/>
    <hyperlink ref="AM102" r:id="rId195" display="101招标文件正文.pdf"/>
    <hyperlink ref="AL103" r:id="rId196" display="102评标情况一览表.xlsx"/>
    <hyperlink ref="AM103" r:id="rId197" display="102招标文件正文.pdf"/>
    <hyperlink ref="AL104" r:id="rId198" display="103.评标情况一览表-客运西站.xlsx"/>
    <hyperlink ref="AM104" r:id="rId199" display="103.招标文件正文(1).pdf"/>
    <hyperlink ref="AL105" r:id="rId200" display="104.评标情况一览表-公辅七标段.xlsx"/>
    <hyperlink ref="AM105" r:id="rId201" display="104.招标文件正文(1).pdf"/>
    <hyperlink ref="AL106" r:id="rId202" display="105.评标情况一览表(1).xlsx"/>
    <hyperlink ref="AM106" r:id="rId203" display="105.招标文件正文(1).pdf"/>
    <hyperlink ref="AL107" r:id="rId204" display="106.评标情况一览表-凤宁工业广场消防改造工程.xlsx"/>
    <hyperlink ref="AM107" r:id="rId205" display="106.招标文件正文.pdf"/>
    <hyperlink ref="AL108" r:id="rId206" display="107.评标情况一览表-小岗三期.xlsx"/>
    <hyperlink ref="AM108" r:id="rId207" display="107.招标文件正文(1).pdf"/>
    <hyperlink ref="AL109" r:id="rId208" display="108.评标情况一览表.xlsx"/>
    <hyperlink ref="AM109" r:id="rId209" display="108.招标文件正文(1).pdf"/>
    <hyperlink ref="AL110" r:id="rId210" display="109.评标情况一览表（定）.xlsx"/>
    <hyperlink ref="AM110" r:id="rId211" display="109.招标文件正文(1).pdf"/>
    <hyperlink ref="AL111" r:id="rId212" display="110.评标情况一览表-凤阳县农村综合性改革试点—“小岗徽味”美食市集项目二期工程.xlsx"/>
    <hyperlink ref="AM111" r:id="rId213" display="110.招标文件正文(1).pdf"/>
    <hyperlink ref="AL112" r:id="rId214" display="111.评标情况一览表.xlsx"/>
    <hyperlink ref="AM112" r:id="rId215" display="111.招标文件正文(1).pdf"/>
    <hyperlink ref="AL113" r:id="rId216" display="112.评标情况一览表-1.26.xlsx"/>
    <hyperlink ref="AM113" r:id="rId217" display="112.招标文件正文(1).pdf"/>
    <hyperlink ref="AL114" r:id="rId218" display="113.评标情况一览表-1.26.xlsx"/>
    <hyperlink ref="AM114" r:id="rId219" display="113.招标文件正文(1).pdf"/>
    <hyperlink ref="AL115" r:id="rId220" display="115.附件：评标情况一览表.xlsx"/>
    <hyperlink ref="AM115" r:id="rId221" display="115.招标文件正文(1).pdf"/>
    <hyperlink ref="AL116" r:id="rId222" display="116.评标情况一览表.xlsx"/>
    <hyperlink ref="AM116" r:id="rId223" display="116.招标文件正文(1).pdf"/>
    <hyperlink ref="AL117" r:id="rId224" display="117.评标情况一览表.xlsx"/>
    <hyperlink ref="AM117" r:id="rId225" display="117.招标文件正文(1).pdf"/>
    <hyperlink ref="AL118" r:id="rId226" display="118.评标情况一览表.xlsx"/>
    <hyperlink ref="AM118" r:id="rId227" display="118.招标文件正文(1).pdf"/>
    <hyperlink ref="AL119" r:id="rId228" display="119.评标情况一览表.xlsx"/>
    <hyperlink ref="AM119" r:id="rId229" display="119.招标文件正文(1).pdf"/>
    <hyperlink ref="AL120" r:id="rId230" display="120.评标情况一览表.xlsx"/>
    <hyperlink ref="AM120" r:id="rId231" display="120.招标文件正文(1).pdf"/>
    <hyperlink ref="AL121" r:id="rId232" display="121.评标情况一览表.xlsx"/>
    <hyperlink ref="AM121" r:id="rId233" display="121.招标文件正文(1).pdf"/>
    <hyperlink ref="AL122" r:id="rId234" display="122.评标情况一览表.xlsx"/>
    <hyperlink ref="AM122" r:id="rId235" display="122.招标文件正文(1).pdf"/>
    <hyperlink ref="AL123" r:id="rId236" display="123.评标情况一览表.xlsx"/>
    <hyperlink ref="AM123" r:id="rId237" display="123.招标文件正文(1).pdf"/>
    <hyperlink ref="AL124" r:id="rId238" display="124.评标情况一览表.xlsx"/>
    <hyperlink ref="AM124" r:id="rId239" display="124.招标文件正文(1).pdf"/>
    <hyperlink ref="AL125" r:id="rId240" display="125.评标情况一览表(1).xls"/>
    <hyperlink ref="AM125" r:id="rId241" display="125.招标文件正文(1).pdf"/>
    <hyperlink ref="AL126" r:id="rId242" display="126.评标情况一览表.xlsx"/>
    <hyperlink ref="AM126" r:id="rId243" display="126.招标文件正文(1).pdf"/>
    <hyperlink ref="AL127" r:id="rId244" display="127.评标情况一览表.xlsx"/>
    <hyperlink ref="AM127" r:id="rId245" display="127.招标文件正文(1).pdf"/>
    <hyperlink ref="AL128" r:id="rId246" display="128.评标情况一览表.xlsx"/>
    <hyperlink ref="AM128" r:id="rId247" display="128.招标文件正文(1).pdf"/>
    <hyperlink ref="AL129" r:id="rId248" display="129.评标情况一览表.xlsx"/>
    <hyperlink ref="AM129" r:id="rId249" display="129.招标文件正文(1).pdf"/>
    <hyperlink ref="AL130" r:id="rId250" display="130.评标情况一览表.xlsx"/>
    <hyperlink ref="AM130" r:id="rId251" display="130.招标文件正文.pdf"/>
    <hyperlink ref="AL131" r:id="rId252" display="131评标情况一览表.xlsx"/>
    <hyperlink ref="AM131" r:id="rId253" display="131招标文件正文.pdf"/>
    <hyperlink ref="AL132" r:id="rId254" display="132.评标情况一览表.xlsx"/>
    <hyperlink ref="AM132" r:id="rId255" display="132.招标文件正文.pdf"/>
    <hyperlink ref="AL133" r:id="rId256" display="133.评标情况一览表.xlsx"/>
    <hyperlink ref="AM133" r:id="rId257" display="133.招标文件正文.pdf"/>
    <hyperlink ref="AL134" r:id="rId258" display="134.评标情况一览表.xlsx"/>
    <hyperlink ref="AM134" r:id="rId259" display="134.招标文件正文.pdf"/>
    <hyperlink ref="AL135" r:id="rId260" display="135.评标情况一览表.xlsx"/>
    <hyperlink ref="AM135" r:id="rId261" display="135.招标文件正文.pdf"/>
    <hyperlink ref="AL136" r:id="rId262" display="136.评标情况一览表.xlsx"/>
    <hyperlink ref="AM136" r:id="rId263" display="136.招标文件正文.pdf"/>
    <hyperlink ref="AL137" r:id="rId264" display="137.评标情况一览表.xlsx"/>
    <hyperlink ref="AM137" r:id="rId265" display="137.招标文件正文.pdf"/>
    <hyperlink ref="AL138" r:id="rId266" display="138.评标情况一览表.xlsx"/>
    <hyperlink ref="AM138" r:id="rId267" display="138.招标文件正文.pdf"/>
    <hyperlink ref="AL139" r:id="rId268" display="139.评标情况一览表.xlsx"/>
    <hyperlink ref="AM139" r:id="rId269" display="139.招标文件正文.pdf"/>
    <hyperlink ref="AL140" r:id="rId270" display="140.评标情况一览表.xlsx"/>
    <hyperlink ref="AM140" r:id="rId271" display="140.招标文件正文.pdf"/>
    <hyperlink ref="AL141" r:id="rId272" display="141.评标情况一览表.xlsx"/>
    <hyperlink ref="AM141" r:id="rId273" display="141.招标文件正文.pdf"/>
    <hyperlink ref="AL142" r:id="rId274" display="142.评标情况一览表.xlsx"/>
    <hyperlink ref="AM142" r:id="rId275" display="142.招标文件正文.pdf"/>
    <hyperlink ref="AL143" r:id="rId276" display="143.评标情况一览表.xlsx"/>
    <hyperlink ref="AM143" r:id="rId277" display="143.招标文件正文.pdf"/>
    <hyperlink ref="AL144" r:id="rId278" display="144.评标情况一览表.xlsx"/>
    <hyperlink ref="AM144" r:id="rId279" display="144.招标文件正文.pdf"/>
    <hyperlink ref="AL145" r:id="rId280" display="145.评标情况一览表.xlsx"/>
    <hyperlink ref="AM145" r:id="rId281" display="145.招标文件正文.pdf"/>
    <hyperlink ref="AL146" r:id="rId282" display="146.评标情况一览表.xlsx"/>
    <hyperlink ref="AM146" r:id="rId283" display="146.招标文件正文.pdf"/>
    <hyperlink ref="AL147" r:id="rId284" display="147.评标情况一览表.xlsx"/>
    <hyperlink ref="AM147" r:id="rId285" display="147.招标文件正文.pdf"/>
    <hyperlink ref="AL148" r:id="rId286" display="148.评标情况一览表.xls"/>
    <hyperlink ref="AM148" r:id="rId287" display="148.招标文件正文.pdf"/>
    <hyperlink ref="AL149" r:id="rId288" display="149.评标情况一览表.xlsx"/>
    <hyperlink ref="AM149" r:id="rId289" display="149.招标文件正文.pdf"/>
    <hyperlink ref="AO18" r:id="rId290" display="高庄花园一期工程三网通信智能化项目.xlsx"/>
    <hyperlink ref="AO19" r:id="rId291" display="全椒县人民法院经济开发区人民法庭项目暖通工程.xlsx"/>
    <hyperlink ref="AO27" r:id="rId292" display="琅琊区天长路人才公寓项目.xlsx"/>
    <hyperlink ref="AO28" r:id="rId293" display="南谯新区实验小学分校校园智能化建设项目（工程）.xlsx"/>
    <hyperlink ref="AO30" r:id="rId294" display="年产3万吨食用菌生产加工（一期）项目施工.xlsx"/>
    <hyperlink ref="AO38" r:id="rId295" display="全椒县科创中心弱电建设项目.xlsx"/>
    <hyperlink ref="AO48" r:id="rId296" display="安徽扬子投资发展有限公司扬子现代产业园改造项目.xlsx"/>
    <hyperlink ref="AO68" r:id="rId297" display="定远县2020年基层卫生服务体系建设项目池河镇中心卫生院工程智能化项目.xlsx"/>
    <hyperlink ref="AO76" r:id="rId298" display="凤阳海螺光伏产业一体化项目一期(配套附属设施)施工总承包.xlsx"/>
    <hyperlink ref="AO92" r:id="rId299" display="凤阳县职业教育能力提升科技学校新校区建设项目（一期）.xlsx"/>
    <hyperlink ref="AO108" r:id="rId300" display="凤阳县小岗村农产品加工产业园三期建设北区项目.xlsx"/>
    <hyperlink ref="AO135" r:id="rId301" display="明光市城市更新一期实验小学智能化工程项目（重新招标）.xlsx"/>
    <hyperlink ref="AO137" r:id="rId302" display="明光市城市更新一期实验小学智能化工程项目.xlsx"/>
    <hyperlink ref="AO148" r:id="rId303" display="明光市产教融合发展示范园职业教育基地智能化项目（重新招标）.xlsx"/>
    <hyperlink ref="AL150" r:id="rId304" display="附件：评标情况一览表.xlsx"/>
    <hyperlink ref="AM150" r:id="rId305" display="苏滁文体中心施工项目招标文件.pdf"/>
    <hyperlink ref="AO150" r:id="rId306" display="苏滁文体中心施工项目.xlsx"/>
    <hyperlink ref="AL151" r:id="rId307" display="凤阳县产业强链标准化厂房建设项目-凤阳县武店镇标准化厂房项目工程施工.评标情况一览表.xlsx"/>
    <hyperlink ref="AM151" r:id="rId308" display="凤阳县产业强链标准化厂房建设项目-凤阳县武店镇标准化厂房项目工程施工招标文件正文.pdf"/>
    <hyperlink ref="AO151" r:id="rId309" display="凤阳县产业强链标准化厂房建设项目-凤阳县武店镇标准化厂房项目工程施工.xlsx"/>
    <hyperlink ref="AL152" r:id="rId310" display="明光市经开区产城新区污水处理厂及配套设施建设项目评标情况一览表.xlsx"/>
    <hyperlink ref="AM152" r:id="rId311" display="明光市经开区产城新区污水处理厂及配套设施建设项目招标文件正文.pdf"/>
    <hyperlink ref="AL153" r:id="rId312" display="明光市第三自来水有限公司供水能力提升及管网项目-第三自来水公司扩建工程评标情况一览表.xlsx"/>
    <hyperlink ref="AM153" r:id="rId313" display="明光市第三自来水有限公司供水能力提升及管网项目-第三自来水公司扩建工程招标文件正文.pdf"/>
    <hyperlink ref="AO152" r:id="rId314" display="明光市经开区产城新区污水处理厂及配套设施建设项目.xlsx"/>
    <hyperlink ref="AO153" r:id="rId315" display="明光市第三自来水有限公司供水能力提升及管网项目-第三自来水公司扩建工程.xlsx"/>
    <hyperlink ref="AL154" r:id="rId316" display="凤阳海螺光伏产业一体化项目一期(配套附属设施)施工总承包评标情况一览表.xlsx"/>
    <hyperlink ref="AM154" r:id="rId317" display="凤阳海螺光伏产业一体化项目一期(配套附属设施)施工总承包招标文件正文.pdf"/>
    <hyperlink ref="AO154" r:id="rId318" display="凤阳海螺光伏产业一体化项目一期(配套附属设施)施工总承包(1).xlsx"/>
    <hyperlink ref="AL155" r:id="rId319" display="来安县汊河镇老旧小区改造项目黄牌小区外立面、路灯、监控、雨污水及室外配套等综合整治工程评标情况一览表.pdf"/>
    <hyperlink ref="AM155" r:id="rId320" display="来安县汊河镇老旧小区改造项目黄牌小区外立面、路灯、监控、雨污水及室外配套等综合整治工程招标文件正文.pdf"/>
    <hyperlink ref="AL156" r:id="rId321" display="滁州市凤阳明中都皇故城文化旅游区建设项目-明中都皇故城宫城环境整治工程（三期）项目（第二标段）评标情况一览表.xlsx"/>
    <hyperlink ref="AM156" r:id="rId322" display="滁州市凤阳明中都皇故城文化旅游区建设项目-明中都皇故城宫城环境整治工程（三期）项目（第二标段）招标文件.pdf"/>
    <hyperlink ref="AO156" r:id="rId323" display="滁州市凤阳明中都皇故城文化旅游区建设项目-明中都皇故城宫城环境整治工程（三期）项目（第二标段）.xlsx"/>
    <hyperlink ref="AO155" r:id="rId324" display="来安县汊河镇老旧小区改造项目黄牌小区外立面、路灯、监控、雨污水及室外配套等综合整治工程.xlsx"/>
    <hyperlink ref="AO128" r:id="rId325" display="天长市大通农产品冷链物流园EPCO总承包项目.xlsx"/>
    <hyperlink ref="AL157" r:id="rId326" display="1.评标情况一览表.xlsx"/>
    <hyperlink ref="AM157" r:id="rId327" display="1.招标文件正文 (1)(2).pdf"/>
    <hyperlink ref="AO157" r:id="rId328" display="1.2024年天长市石梁镇高标准农田建设项目（2024年天长市高标准农田建设项目（第二批）二标段）.xlsx"/>
    <hyperlink ref="AL158" r:id="rId329" display="2.评标情况一览表(1).xlsx"/>
    <hyperlink ref="AM158" r:id="rId330" display="2.招标文件正文 (1)(2).pdf"/>
    <hyperlink ref="AO158" r:id="rId331" display="2.2025年凤阳县小溪河镇大庙余村高标准农田建设项目（六标段）.xlsx"/>
    <hyperlink ref="AL159" r:id="rId332" display="3.评标情况一览表1.22.xlsx"/>
    <hyperlink ref="AM159" r:id="rId333" display="3.招标文件正文 (1)(2).pdf"/>
    <hyperlink ref="AO159" r:id="rId334" display="3.凤阳县2024年高标准农田建设及大托管项目-2024年凤阳县红心镇高标准农田建设项目(三标段)三次.xlsx"/>
    <hyperlink ref="AL160" r:id="rId335" display="4.评标情况一览表.xlsx"/>
    <hyperlink ref="AM160" r:id="rId336" display="4.招标文件正文 (1)(2).pdf"/>
    <hyperlink ref="AO160" r:id="rId337" display="4.凤阳县乡村振兴土地提质增效项 目-凤阳县 2025 年板桥镇安乐村高标准农田建设项目.xlsx"/>
    <hyperlink ref="AL161" r:id="rId338" display="5.评标情况一览表.xlsx"/>
    <hyperlink ref="AM161" r:id="rId339" display="5.招标文件正文 (1)(1).pdf"/>
    <hyperlink ref="AO161" r:id="rId340" display="5.凤阳县乡村振兴土地提质增效项目-凤阳县2025年刘府镇拐王村高标准农田建设项目.xlsx"/>
    <hyperlink ref="AL162" r:id="rId341" display="6.附件评标情况一览表.xlsx"/>
    <hyperlink ref="AM162" r:id="rId342" display="6.招标文件正文 (1)(2).pdf"/>
    <hyperlink ref="AO162" r:id="rId343" display="6.2025年明光市管店镇管店村等三个村高标准农田建设项目（三标段）（重新发布）.xlsx"/>
    <hyperlink ref="AL163" r:id="rId344" display="7.评标情况一览表(1).xlsx"/>
    <hyperlink ref="AM163" r:id="rId345" display="7.招标文件正文 (1)(2).pdf"/>
    <hyperlink ref="AO163" r:id="rId346" display="7.2025年明光市明西街道高标准农田建设项目（四标段）（重新发布）.xlsx"/>
    <hyperlink ref="AL164" r:id="rId347" display="8.评标情况一览表12.25.xlsx"/>
    <hyperlink ref="AM164" r:id="rId348" display="8.招标文件正文 (1)(2).pdf"/>
    <hyperlink ref="AO164" r:id="rId349" display="8.凤阳县2024年高标准农田建设及大托管项目-2024年凤阳县红心镇高标准农田建设项目(三标段)二次.xlsx"/>
    <hyperlink ref="AL165" r:id="rId350" display="9.评标情况一览表.xlsx"/>
    <hyperlink ref="AM165" r:id="rId351" display="9.招标文件正文 (1)(2).pdf"/>
    <hyperlink ref="AO165" r:id="rId352" display="9.2025年明光市明西街道后薛村高标准农田建设项目（五标段）.xlsx"/>
    <hyperlink ref="AL166" r:id="rId353" display="10.评标情况一览表.xlsx"/>
    <hyperlink ref="AM166" r:id="rId354" display="10.招标文件正文 (1)(2).pdf"/>
    <hyperlink ref="AO166" r:id="rId355" display="10.2025年明光市张八岭镇高标准农田建设项目（一标段）.xlsx"/>
    <hyperlink ref="AL167" r:id="rId356" display="11.评标情况一览表(1).xlsx"/>
    <hyperlink ref="AM167" r:id="rId357" display="11.招标文件正文 (1)(2).pdf"/>
    <hyperlink ref="AO167" r:id="rId358" display="11.2025年明光市潘村镇高标准农田建设项目（二标段）.xlsx"/>
    <hyperlink ref="AL168" r:id="rId359" display="12.评标情况一览表.xlsx"/>
    <hyperlink ref="AM168" r:id="rId360" display="12.招标文件正文 (1)(2).pdf"/>
    <hyperlink ref="AO168" r:id="rId361" display="12.2025年凤阳县玄武街道门台社区高标准农田建设项目（二标段）.xlsx"/>
    <hyperlink ref="AL172" r:id="rId362" display="1.评标情况一览表(1).xlsx"/>
    <hyperlink ref="AM172" r:id="rId363" display="1.招标文件正文 (2).pdf"/>
    <hyperlink ref="AO172" r:id="rId364" display="1.2024年明光市古沛镇高标准农田建设项目（二标段）.xlsx"/>
    <hyperlink ref="AL173" r:id="rId365" display="2.附件评标情况一览表.xlsx"/>
    <hyperlink ref="AM173" r:id="rId366" display="2.招标文件正文 (1)(3).pdf"/>
    <hyperlink ref="AO173" r:id="rId367" display="2.2024年明光市明西街道高标准农田建设项目（七标段）.xlsx"/>
    <hyperlink ref="AL174" r:id="rId368" display="3.评标情况一览表(1).xlsx"/>
    <hyperlink ref="AM174" r:id="rId369" display="3.招标文件正文 (1)(3).pdf"/>
    <hyperlink ref="AO174" r:id="rId370" display="3.2024年明光市石坝镇太平集村高标准农田建设项目(五标段).xlsx"/>
    <hyperlink ref="AL175" r:id="rId371" display="4.评标情况一览表(1).xlsx"/>
    <hyperlink ref="AM175" r:id="rId372" display="4.招标文件正文 (1)(3).pdf"/>
    <hyperlink ref="AO175" r:id="rId373" display="4.2024年明光市石坝镇包集村高标准农田建设项目（十标段）.xlsx"/>
    <hyperlink ref="AL176" r:id="rId374" display="5.评标情况一览表(1).xlsx"/>
    <hyperlink ref="AM176" r:id="rId375" display="5.招标文件正文 (1)(2).pdf"/>
    <hyperlink ref="AO176" r:id="rId376" display="5.2024年明光市张八岭镇高标准农田建设项目（十一标段）.xlsx"/>
    <hyperlink ref="AL177" r:id="rId377" display="6.评标情况一览表(1).xlsx"/>
    <hyperlink ref="AM177" r:id="rId378" display="6.招标文件正文 (1)(3).pdf"/>
    <hyperlink ref="AO177" r:id="rId379" display="6.2024年明光市涧溪镇蒲塘村等3个行政村高标准农田建设项目（九标段）.xlsx"/>
    <hyperlink ref="AL178" r:id="rId380" display="7.评标情况一览表(2).xlsx"/>
    <hyperlink ref="AM178" r:id="rId381" display="7.招标文件正文 (1)(3).pdf"/>
    <hyperlink ref="AO178" r:id="rId382" display="7.2024年明光市苏巷镇高标准农田建设项目（一标段）.xlsx"/>
    <hyperlink ref="AL179" r:id="rId383" display="8.评标情况一览表.xlsx"/>
    <hyperlink ref="AM179" r:id="rId384" display="8.招标文件正文 (1)(3).pdf"/>
    <hyperlink ref="AO179" r:id="rId385" display="8.2024年明光市潘村镇高标准农田建设项目（八标段）.xlsx"/>
    <hyperlink ref="AL180" r:id="rId386" display="9.评标情况一览表(1).xlsx"/>
    <hyperlink ref="AM180" r:id="rId387" display="9.招标文件正文 (1)(3).pdf"/>
    <hyperlink ref="AO180" r:id="rId388" display="9.2024年明光市明南街道高标准农田建设项目（三标段）.xlsx"/>
    <hyperlink ref="AL181" r:id="rId389" display="10.评标情况一览表(1).xlsx"/>
    <hyperlink ref="AM181" r:id="rId390" display="10.招标文件正文 (1)(3).pdf"/>
    <hyperlink ref="AO181" r:id="rId391" display="10.全椒县高标准农田建设项目（马厂镇新安村）二标段.xlsx"/>
    <hyperlink ref="AL170" r:id="rId392" display="14.评标情况一览表.xlsx"/>
    <hyperlink ref="AM170" r:id="rId393" display="14.招标文件正文 (5).pdf"/>
    <hyperlink ref="AL171" r:id="rId394" display="15.评标情况一览表(1).xlsx"/>
    <hyperlink ref="AM171" r:id="rId395" display="15.招标文件正文(3).pdf"/>
    <hyperlink ref="AO171" r:id="rId396" display="15.2024年琅琊区西涧街道、三官街道高标准农田建设项目.xlsx"/>
    <hyperlink ref="AO170" r:id="rId397" display="14.2025年凤阳县总铺镇山北吴村等2个行政村高标准农田建设项目（四标段）.xlsx"/>
    <hyperlink ref="AL169" r:id="rId398" display="13.评标情况一览表.xlsx"/>
    <hyperlink ref="AM169" r:id="rId399" display="13.招标文件正文(2).pdf"/>
    <hyperlink ref="AO169" r:id="rId400" display="13.2025年凤阳县小溪河镇金庄村高标准农田建设项目（三标段）.xlsx"/>
    <hyperlink ref="AL182" r:id="rId401" display="1.评标情况一览表(2).xlsx"/>
    <hyperlink ref="AM182" r:id="rId402" display="1.招标文件正文(2).pdf"/>
    <hyperlink ref="AO182" r:id="rId403" display="1.全椒县高标准农田建设项目（武岗镇中心村）四标段.xlsx"/>
    <hyperlink ref="AL183" r:id="rId404" display="2.评标情况一览表.xlsx"/>
    <hyperlink ref="AM183" r:id="rId405" display="2.招标文件正文(2).pdf"/>
    <hyperlink ref="AO183" r:id="rId406" display="2.2024年明光市女山湖镇高标准农田建设项目（六标段）.xlsx"/>
    <hyperlink ref="AL184" r:id="rId407" display="3.评标情况一览表.xlsx"/>
    <hyperlink ref="AM184" r:id="rId408" display="3.招标文件正文(2).pdf"/>
    <hyperlink ref="AO184" r:id="rId409" display="3.全椒县高标准农田建设项目（六镇镇白酒村）一标段.xlsx"/>
    <hyperlink ref="AL185" r:id="rId410" display="4.附件评标情况一览表.xlsx"/>
    <hyperlink ref="AM185" r:id="rId411" display="4.招标文件正文(2).pdf"/>
    <hyperlink ref="AO185" r:id="rId412" display="4.全椒县高标准农田建设项目（石沛镇联盟村）三标段.xlsx"/>
    <hyperlink ref="AL186" r:id="rId413" display="5.评标情况一览表(2).xlsx"/>
    <hyperlink ref="AM186" r:id="rId414" display="5.招标文件正文(2).pdf"/>
    <hyperlink ref="AO186" r:id="rId415" display="5.凤阳县2024年高标准农田建设及大托管项目-2024年凤阳县大庙镇高陈村高标准农田建设项目(八标段）.xlsx"/>
    <hyperlink ref="AL187" r:id="rId416" display="6.五标段评标情况一览表.xlsx"/>
    <hyperlink ref="AM187" r:id="rId417" display="6.招标文件正文(3).pdf"/>
    <hyperlink ref="AO187" r:id="rId418" display="6.凤阳县2024年高标准农田建设及大托管项目-2024年凤阳县刘府镇高标准农田建设项目(五标段).xlsx"/>
    <hyperlink ref="AL193" r:id="rId419" display="1.评标情况一览表(4).xlsx"/>
    <hyperlink ref="AM193" r:id="rId420" display="1.招标文件正文 (1)(3).pdf"/>
    <hyperlink ref="AO193" r:id="rId421" display="1.2024年度天长市高标准农田（中央补助）建设项目-大通镇大通村集体股份经济合作社项目.xlsx"/>
    <hyperlink ref="AL194" r:id="rId422" display="2.评标情况一览表(3).xlsx"/>
    <hyperlink ref="AM194" r:id="rId423" display="2.招标文件正文 (1)(4).pdf"/>
    <hyperlink ref="AL188" r:id="rId424" display="1.评标情况一览表.xlsx"/>
    <hyperlink ref="AM188" r:id="rId425" display="1.招标文件正文(1).pdf"/>
    <hyperlink ref="AO188" r:id="rId426" display="1.凤阳县乡村振兴土地提质增效项目-2024年凤阳县小溪河镇高标准农田建设项目(一标段).xlsx"/>
    <hyperlink ref="AL189" r:id="rId427" display="2.评标情况一览表.xlsx"/>
    <hyperlink ref="AM189" r:id="rId428" display="2.招标文件正文(1).pdf"/>
    <hyperlink ref="AO189" r:id="rId429" display="2.2024年明光市涧溪镇鲁山村高标准农田建设项目（四标段）.xlsx"/>
    <hyperlink ref="AL190" r:id="rId430" display="3.评标情况一览表.xlsx"/>
    <hyperlink ref="AM190" r:id="rId431" display="3.招标文件正文(1).pdf"/>
    <hyperlink ref="AO190" r:id="rId432" display="3.定远县2024年高标准农田建设项目(14标段).xlsx"/>
    <hyperlink ref="AL191" r:id="rId433" display="4.评标情况一览表.xlsx"/>
    <hyperlink ref="AM191" r:id="rId434" display="4.招标文件正文(1).pdf"/>
    <hyperlink ref="AO191" r:id="rId435" display="4.凤阳县乡村振兴土地提质增效项目-2024年凤阳县府城镇高标准农田建设项目（二标段）.xlsx"/>
    <hyperlink ref="AL192" r:id="rId436" display="5.六标段评标情况一览表.xlsx"/>
    <hyperlink ref="AM192" r:id="rId437" display="5.招标文件正文(1).pdf"/>
    <hyperlink ref="AO192" r:id="rId438" display="5.凤阳县2024年高标准农田建设及大托管项目-2024年凤阳县枣巷镇高标准农田建设项目(六标段).xlsx"/>
    <hyperlink ref="AO194" r:id="rId439" display="2.2024年天长市大通镇便益社区高标准农田建设项目（2024年天长市高标准农田建设项目（第二批）三标段）.xlsx"/>
    <hyperlink ref="AL195" r:id="rId440" display="3.评标情况一览表(3).xlsx"/>
    <hyperlink ref="AM195" r:id="rId441" display="3.招标文件正文 (1)(4).pdf"/>
    <hyperlink ref="AO195" r:id="rId442" display="3.2024年天长市石梁镇高标准农田建设项目（2024年天长市高标准农田建设项目（第二批）二标段）.xlsx"/>
    <hyperlink ref="AL196" r:id="rId443" display="4.评标情况一览表(3).xlsx"/>
    <hyperlink ref="AM196" r:id="rId444" display="4.招标文件正文 (1)(4).pdf"/>
    <hyperlink ref="AO196" r:id="rId445" display="4.2024年天长市汊涧镇高标准农田建设项目（2024年天长市高标准农田建设项目（第二批）五标段）.xlsx"/>
    <hyperlink ref="AL198" r:id="rId446" display="6.评标情况一览表(3).xlsx"/>
    <hyperlink ref="AM198" r:id="rId447" display="6.招标文件正文(6).pdf"/>
    <hyperlink ref="AO198" r:id="rId448" display="6.2024年天长市秦栏镇高标准农田建设项目（2024年天长市高标准农田建设项目（第二批）四标段）.xlsx"/>
    <hyperlink ref="AL197" r:id="rId449" display="5.评标情况一览表(5).xlsx"/>
    <hyperlink ref="AM197" r:id="rId450" display="6.招标文件正文(7).pdf"/>
    <hyperlink ref="AO197" r:id="rId451" display="6.2024年天长市秦栏镇高标准农田建设项目（2024年天长市高标准农田建设项目（第二批）四标段）(1).xlsx"/>
    <hyperlink ref="AL199" r:id="rId452" display="7.评标情况一览表(4).xlsx"/>
    <hyperlink ref="AM199" r:id="rId453" display="7.招标文件正文(5).pdf"/>
    <hyperlink ref="AO199" r:id="rId454" display="7.2024年天长市高标准农田建设项目（四标段：冶山镇隐庵村）.xlsx"/>
    <hyperlink ref="AL200" r:id="rId455" display="8.评标情况一览表(2).xlsx"/>
    <hyperlink ref="AM200" r:id="rId456" display="8.招标文件正文(5).pdf"/>
    <hyperlink ref="AO200" r:id="rId457" display="8.2024年天长市高标准农田建设项目（六标段：铜城镇安乐社区）.xlsx"/>
    <hyperlink ref="AL201" r:id="rId458" display="9.评标情况一览表(3).xlsx"/>
    <hyperlink ref="AM201" r:id="rId459" display="9.招标文件正文(4).pdf"/>
    <hyperlink ref="AO201" r:id="rId460" display="9.2024年天长市高标准农田建设项目（五标段：万寿镇汊河村）.xlsx"/>
    <hyperlink ref="AL202" r:id="rId461" display="10评标情况一览表.xlsx"/>
    <hyperlink ref="AM202" r:id="rId462" display="10.招标文件正文(3).pdf"/>
    <hyperlink ref="AO202" r:id="rId463" display="10.2024年天长市高标准农田建设项目（三标段：大通镇便益社区）.xlsx"/>
    <hyperlink ref="AL203" r:id="rId464" display="11.评标情况一览表(3).xlsx"/>
    <hyperlink ref="AM203" r:id="rId465" display="11.招标文件正文(3).pdf"/>
    <hyperlink ref="AO203" r:id="rId466" display="11.2024年天长市高标准农田建设项目（七标段：汊涧镇汊北村.xlsx"/>
    <hyperlink ref="AL204" r:id="rId467" display="12.评标情况一览表(2).xlsx"/>
    <hyperlink ref="AM204" r:id="rId468" display="12.招标文件正文(3).pdf"/>
    <hyperlink ref="AO204" r:id="rId469" display="12.2024年天长市高标准农田建设项目（二标段：仁和集镇王桥村）.xlsx"/>
    <hyperlink ref="AL205" r:id="rId470" display="13.评标情况一览表(2).xlsx"/>
    <hyperlink ref="AM205" r:id="rId471" display="13.招标文件正文(4).pdf"/>
    <hyperlink ref="AO205" r:id="rId472" display="13.2024年天长市高标准农田建设项目（一标段：金集镇头墩村）.xlsx"/>
    <hyperlink ref="AL206" r:id="rId473" display="1.评标情况一览表(6).xlsx"/>
    <hyperlink ref="AM206" r:id="rId474" display="1.招标文件正文(5).pdf"/>
    <hyperlink ref="AO206" r:id="rId475" display="1.定远县2024年高标准农田建设项目（8标段）.xlsx"/>
    <hyperlink ref="AL207" r:id="rId476" display="2.评标情况一览表(4).xlsx"/>
    <hyperlink ref="AM207" r:id="rId477" display="2.招标文件正文(5).pdf"/>
    <hyperlink ref="AO207" r:id="rId478" display="2.定远县2024年高标准农田建设项目（7标段）.xlsx"/>
    <hyperlink ref="AL208" r:id="rId479" display="3.评标情况一览表(4).xlsx"/>
    <hyperlink ref="AM208" r:id="rId480" display="3.招标文件正文(5).pdf"/>
    <hyperlink ref="AO208" r:id="rId481" display="3.定远县2024年高标准农田建设项目（11标段）.xlsx"/>
    <hyperlink ref="AL209" r:id="rId482" display="4.评标情况一览表(4).xlsx"/>
    <hyperlink ref="AM209" r:id="rId483" display="4.招标文件正文(5).pdf"/>
    <hyperlink ref="AO209" r:id="rId484" display="4.定远县 2024 年高标准农田建设项目（10 标段）.xlsx"/>
    <hyperlink ref="AL210" r:id="rId485" display="5.评标情况一览表(4).xlsx"/>
    <hyperlink ref="AM210" r:id="rId486" display="5.招标文件正文(5).pdf"/>
    <hyperlink ref="AO210" r:id="rId487" display="5.定远县2024年高标准农田建设项目（13标段）.xlsx"/>
    <hyperlink ref="AL211" r:id="rId488" display="6.评标情况一览表(2).xlsx"/>
    <hyperlink ref="AM211" r:id="rId489" display="6.招标文件正文(5).pdf"/>
    <hyperlink ref="AO211" r:id="rId490" display="6.定远县2024年高标准农田建设项目（9标段）.xlsx"/>
    <hyperlink ref="AL212" r:id="rId491" display="7.评标情况一览表(3).xlsx"/>
    <hyperlink ref="AM212" r:id="rId492" display="7.招标文件正文(4).pdf"/>
    <hyperlink ref="AO212" r:id="rId493" display="7.定远县2024年高标准农田建设项目（12标段）.xlsx"/>
    <hyperlink ref="AL213" r:id="rId494" display="8.评标情况一览表(1).xlsx"/>
    <hyperlink ref="AM213" r:id="rId495" display="8.招标文件正文(4).pdf"/>
    <hyperlink ref="AO213" r:id="rId496" display="8.定远县2024年高标准农田建设项目(第一批)1标段.xlsx"/>
    <hyperlink ref="AL214" r:id="rId497" display="9.评标情况一览表(2).xlsx"/>
    <hyperlink ref="AM214" r:id="rId498" display="9.招标文件正文(3).pdf"/>
    <hyperlink ref="AO214" r:id="rId499" display="9.定远县2024年高标准农田建设项目(第一批)2标段.xlsx"/>
    <hyperlink ref="AL215" r:id="rId500" display="10.评标情况一览表(2).xlsx"/>
    <hyperlink ref="AM215" r:id="rId501" display="10.招标文件正文(2).pdf"/>
    <hyperlink ref="AO215" r:id="rId502" display="10.定远县2024年高标准农田建设项目(第一批)4标段.xlsx"/>
    <hyperlink ref="AL216" r:id="rId503" display="11.评标情况一览表(2).xlsx"/>
    <hyperlink ref="AM216" r:id="rId504" display="11.招标文件正文(2).pdf"/>
    <hyperlink ref="AO216" r:id="rId505" display="11.定远县2024年高标准农田建设项目(第一批)3标段.xlsx"/>
    <hyperlink ref="AL217" r:id="rId506" display="12.评标情况一览表(1).xlsx"/>
    <hyperlink ref="AM217" r:id="rId507" display="12.招标文件正文(2).pdf"/>
    <hyperlink ref="AO217" r:id="rId508" display="12.定远县2024年高标准农田建设项目（第一批）6 标段.xlsx"/>
    <hyperlink ref="AL218" r:id="rId509" display="13.评标情况一览表(1).xlsx"/>
    <hyperlink ref="AM218" r:id="rId510" display="13.招标文件正文(3).pdf"/>
    <hyperlink ref="AO218" r:id="rId511" display="13.定远县2024年高标准农田建设项目(第一批)5标段(1).xlsx"/>
    <hyperlink ref="AL219" r:id="rId512" display="1.评标情况一览表(3).xlsx"/>
    <hyperlink ref="AM219" r:id="rId513" display="1.招标文件正文(3).pdf"/>
    <hyperlink ref="AO219" r:id="rId514" display="1.2024年全椒县高标准农田建设项目（大墅镇章辉村、章辉居委会)四标段.xlsx"/>
    <hyperlink ref="AL220" r:id="rId515" display="2.评标情况一览表(2).xlsx"/>
    <hyperlink ref="AM220" r:id="rId516" display="2.招标文件正文(3).pdf"/>
    <hyperlink ref="AO220" r:id="rId517" display="2.2024年全椒县高标准农田建设项目(西王镇西王村)六标段.xlsx"/>
    <hyperlink ref="AL221" r:id="rId518" display="3.评标情况一览表(2).xlsx"/>
    <hyperlink ref="AM221" r:id="rId519" display="3.招标文件正文(3).pdf"/>
    <hyperlink ref="AO221" r:id="rId520" display="3.2024年全椒县高标准农田建设项目（大墅镇章辉村、章辉居委会)三标段.xlsx"/>
    <hyperlink ref="AL222" r:id="rId521" display="4.评标情况一览表(2).xlsx"/>
    <hyperlink ref="AM222" r:id="rId522" display="4.招标文件正文(3).pdf"/>
    <hyperlink ref="AO222" r:id="rId523" display="4.2024年全椒县高标准农田建设项目（武岗镇武岗村)一标段.xlsx"/>
    <hyperlink ref="AL223" r:id="rId524" display="5.评标情况一览表(3).xlsx"/>
    <hyperlink ref="AM223" r:id="rId525" display="5.招标文件正文(3).pdf"/>
    <hyperlink ref="AO223" r:id="rId526" display="5.2024年全椒县高标准农田建设项目(西王镇龙山村)五标段.xlsx"/>
    <hyperlink ref="AL224" r:id="rId527" display="6.评标情况一览表.xlsx"/>
    <hyperlink ref="AM224" r:id="rId528" display="6.招标文件正文(4).pdf"/>
    <hyperlink ref="AO224" r:id="rId529" display="6.2024年全椒县高标准农田建设项目(二郎口镇太平村)二标段.xlsx"/>
    <hyperlink ref="AL225" r:id="rId530" display="22.评标情况一览表.xlsx"/>
    <hyperlink ref="AM225" r:id="rId531" display="22.招标文件正文(1).pdf"/>
    <hyperlink ref="AO225" r:id="rId532" display="22.2024年明光市高标准农田建设项目（五标段：桥头镇岗王村）.xlsx"/>
    <hyperlink ref="AL226" r:id="rId533" display="23.评标情况一览表（以此为准）.xlsx"/>
    <hyperlink ref="AM226" r:id="rId534" display="23.招标文件正文(1).pdf"/>
    <hyperlink ref="AO226" r:id="rId535" display="23.2024年明光市高标准农田建设项目（四标段：桥头镇井王村）.xlsx"/>
    <hyperlink ref="AL227" r:id="rId536" display="24.评标情况一览表.xlsx"/>
    <hyperlink ref="AM227" r:id="rId537" display="24.招标文件正文(1).pdf"/>
    <hyperlink ref="AO227" r:id="rId538" display="24.2024年明光市高标准农田建设项目（三标段：明西街道蔡岗村）.xlsx"/>
    <hyperlink ref="AL228" r:id="rId539" display="25.评标情况一览表.xlsx"/>
    <hyperlink ref="AM228" r:id="rId540" display="25.招标文件正文(1).pdf"/>
    <hyperlink ref="AO228" r:id="rId541" display="25.2024年明光市高标准农田建设项目（二标段：泊岗乡泊岗村）.xlsx"/>
    <hyperlink ref="AL229" r:id="rId542" display="26.评标情况一览表.xlsx"/>
    <hyperlink ref="AM229" r:id="rId543" display="26.招标文件正文(1).pdf"/>
    <hyperlink ref="AO229" r:id="rId544" display="26.2024年明光市高标准农田建设项目（一标段：石坝镇王桥村）.xlsx"/>
    <hyperlink ref="AL230" r:id="rId545" display="1.评标情况一览表(5).xlsx"/>
    <hyperlink ref="AM230" r:id="rId546" display="1.招标文件正文(4).pdf"/>
    <hyperlink ref="AO230" r:id="rId547" display="1.2024年来安县高标准农田建设项目九标段（新安镇双塘村）.xlsx"/>
    <hyperlink ref="AL231" r:id="rId548" display="2.2024年来安县高标准农田建设项目八标段（新安镇七里社区）-评标情况一览表(1).xlsx"/>
    <hyperlink ref="AM231" r:id="rId549" display="2.招标文件正文(4).pdf"/>
    <hyperlink ref="AO231" r:id="rId550" display="2.2024年来安县高标准农田建设项目八标段（新安镇七里社区）.xlsx"/>
    <hyperlink ref="AL232" r:id="rId551" display="3.评标情况一览表(1).pdf"/>
    <hyperlink ref="AM232" r:id="rId552" display="3.招标文件正文(4).pdf"/>
    <hyperlink ref="AO232" r:id="rId553" display="3.2024年来安县高标准农田建设项目一标段（半塔镇大余郢村）.xlsx"/>
    <hyperlink ref="AL233" r:id="rId554" display="4.白云村-评标情况一览表(1).xlsx"/>
    <hyperlink ref="AM233" r:id="rId555" display="4.招标文件正文(4).pdf"/>
    <hyperlink ref="AO233" r:id="rId556" display="4.2024年来安县高标准农田建设项目二标段（半塔镇白云村）.xlsx"/>
    <hyperlink ref="AL234" r:id="rId557" display="5.三标段评标情况一览表.pdf"/>
    <hyperlink ref="AM234" r:id="rId558" display="5.招标文件正文(4).pdf"/>
    <hyperlink ref="AO234" r:id="rId559" display="5.2024年来安县高标准农田建设项目三标段（张山镇倒桥村）.xlsx"/>
    <hyperlink ref="AL235" r:id="rId560" display="6.张山镇张山村评标情况一览表(1).xlsx"/>
    <hyperlink ref="AM235" r:id="rId561" display="6.招标文件正文 (1)(4).pdf"/>
    <hyperlink ref="AO235" r:id="rId562" display="6.2024年来安县高标准农田建设项目四标段（张山镇张山村）.xlsx"/>
    <hyperlink ref="AL236" r:id="rId563" display="7.五标段评标情况一览表.pdf"/>
    <hyperlink ref="AM236" r:id="rId564" display="7.招标文件正文(3).pdf"/>
    <hyperlink ref="AO236" r:id="rId565" display="7.2024年来安县高标准农田建设项目五标段（三城镇河口村）.xlsx"/>
    <hyperlink ref="AL237" r:id="rId566" display="8.评标情况一览表(1).pdf"/>
    <hyperlink ref="AM237" r:id="rId567" display="8.招标文件正文(3).pdf"/>
    <hyperlink ref="AO237" r:id="rId568" display="8.2024年来安县高标准农田建设项目六标段（独山镇青龙村）.xlsx"/>
    <hyperlink ref="AL238" r:id="rId569" display="9.评标情况一览表(1).pdf"/>
    <hyperlink ref="AM238" r:id="rId570" display="9.招标文件正文(2).pdf"/>
    <hyperlink ref="AO238" r:id="rId571" display="9.2024年来安县高标准农田建设项目七标段（水口镇枣林村）.xlsx"/>
    <hyperlink ref="AL239" r:id="rId572" display="8.评标情况一览表.xlsx"/>
    <hyperlink ref="AM239" r:id="rId573" display="8.招标文件正文 (1).pdf"/>
    <hyperlink ref="AO239" r:id="rId574" display="8.2024年南谯区珠龙镇陈王村高标准农田建设项目（2024年南谯区高标准农田建设六标段）.xlsx"/>
    <hyperlink ref="AO240" r:id="rId575" display="9.2024年南谯区珠龙镇广卫村高标准农田建设项目（2024年南谯区高标准农田建设五标段）.xlsx"/>
    <hyperlink ref="AM240" r:id="rId576" display="9.招标文件正文 (1).pdf"/>
    <hyperlink ref="AL240" r:id="rId577" display="9.广卫-评标情况一览表.xlsx"/>
    <hyperlink ref="AM241" r:id="rId578" display="10.招标文件正文 (1).pdf"/>
    <hyperlink ref="AO242" r:id="rId579" display="11.2024年南谯区高标准农田建设项目2标段.xlsx"/>
    <hyperlink ref="AM242" r:id="rId580" display="11.招标文件正文 (1).pdf"/>
    <hyperlink ref="AL242" r:id="rId581" display="11.评标情况一览表二标段.xlsx"/>
    <hyperlink ref="AL241" r:id="rId582" display="10.评标情况一览表一标段(1).xlsx"/>
    <hyperlink ref="AO241" r:id="rId583" display="10.2024年南谯区高标准农田建设项目1标段(1).xlsx"/>
    <hyperlink ref="AO243" r:id="rId584" display="12.2024年南谯区高标准农田建设项目3标段.xlsx"/>
    <hyperlink ref="AL243" r:id="rId585" display="12.评标情况一览表三标段.xlsx"/>
    <hyperlink ref="AM243" r:id="rId586" display="12.招标文件正文(1).pdf"/>
    <hyperlink ref="AL244" r:id="rId587" display="13.评标情况一览表.xlsx"/>
    <hyperlink ref="AM244" r:id="rId588" display="13.招标文件正文(1).pdf"/>
    <hyperlink ref="AO244" r:id="rId589" display="13.凤阳县乡村振兴土地提质增效项目-2025年凤阳县黄湾乡高标准农田建设项目.xlsx"/>
    <hyperlink ref="AL245" r:id="rId590" display="14.评标情况一览表.xlsx"/>
    <hyperlink ref="AM245" r:id="rId591" display="14.文件正文.pdf"/>
    <hyperlink ref="AO245" r:id="rId592" display="14.凤阳县2024年高标准农田建设及大托管项目-2024年凤阳县红心镇高标准农田建设项目(三标段).xlsx"/>
    <hyperlink ref="AL246" r:id="rId593" display="15.评标情况一览表.xlsx"/>
    <hyperlink ref="AM246" r:id="rId594" display="15.招标文件正文(1).pdf"/>
    <hyperlink ref="AO246" r:id="rId595" display="15.凤阳县2024年高标准农田建设及大托管项目-2024年凤阳县大庙镇周圩村高标准农田建设项目(七标段).xlsx"/>
    <hyperlink ref="AL247" r:id="rId596" display="16.评标情况一览表.xlsx"/>
    <hyperlink ref="AM247" r:id="rId597" display="16.招标文件正文(1).pdf"/>
    <hyperlink ref="AO247" r:id="rId598" display="16.凤阳县2024年高标准农田建设及大托管项目-2024年凤阳县官塘镇高标准农田建设项目（四标段）.xlsx"/>
    <hyperlink ref="AL248" r:id="rId599" display="17.评标情况一览表.xlsx"/>
    <hyperlink ref="AM248" r:id="rId600" display="17.招标文件正文(1).pdf"/>
    <hyperlink ref="AO248" r:id="rId601" display="17.2024年凤阳县高标准农田建设项目（五标段：武店镇沙涧村）.xlsx"/>
    <hyperlink ref="AL249" r:id="rId602" display="18.评标情况一览表.xlsx"/>
    <hyperlink ref="AM249" r:id="rId603" display="18.招标文件正文(1).pdf"/>
    <hyperlink ref="AO249" r:id="rId604" display="18.2024年凤阳县高标准农田建设项目（二标段：刘府镇席岗村）.xlsx"/>
    <hyperlink ref="AL250" r:id="rId605" display="19.评标情况一览表.xlsx"/>
    <hyperlink ref="AM250" r:id="rId606" display="19.招标文件正文.pdf"/>
    <hyperlink ref="AO250" r:id="rId607" display="19.2024年凤阳县高标准农田建设项目（一标段：殷涧镇凤殷村）.xlsx"/>
    <hyperlink ref="AL251" r:id="rId608" display="20.评标情况一览表.xlsx"/>
    <hyperlink ref="AM251" r:id="rId609" display="20.招标文件正文(1).pdf"/>
    <hyperlink ref="AO251" r:id="rId610" display="20.2024年凤阳县高标准农田建设项目（三标段：刘府镇官沟社区）.xlsx"/>
    <hyperlink ref="AL252" r:id="rId611" display="21.评标情况一览表.xlsx"/>
    <hyperlink ref="AM252" r:id="rId612" display="21.招标文件正文(1).pdf"/>
    <hyperlink ref="AO252" r:id="rId613" display="21.2024年凤阳县高标准农田建设项目（四标段：板桥镇板桥社区）.xlsx"/>
  </hyperlinks>
  <pageMargins left="0.7" right="0.7" top="0.75" bottom="0.75" header="0.3" footer="0.3"/>
  <pageSetup paperSize="9" orientation="portrait"/>
  <headerFooter/>
  <ignoredErrors>
    <ignoredError sqref="AE221"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62"/>
  <sheetViews>
    <sheetView zoomScale="85" zoomScaleNormal="85" workbookViewId="0">
      <selection activeCell="G18" sqref="G18"/>
    </sheetView>
  </sheetViews>
  <sheetFormatPr defaultColWidth="9" defaultRowHeight="16.8"/>
  <cols>
    <col min="2" max="2" width="11.5"/>
    <col min="4" max="4" width="21.75" customWidth="1"/>
    <col min="5" max="5" width="14.875"/>
    <col min="9" max="9" width="20.875" customWidth="1"/>
    <col min="10" max="11" width="9" customWidth="1"/>
    <col min="12" max="12" width="11.5" customWidth="1"/>
    <col min="13" max="13" width="14.875" customWidth="1"/>
    <col min="14" max="14" width="12.125" customWidth="1"/>
    <col min="15" max="15" width="14.875"/>
    <col min="16" max="16" width="13.75" style="3"/>
  </cols>
  <sheetData>
    <row r="1" s="1" customFormat="1" spans="1:16">
      <c r="A1" s="4"/>
      <c r="B1" s="4"/>
      <c r="C1" s="4"/>
      <c r="D1" s="4"/>
      <c r="E1" s="4"/>
      <c r="F1" s="4"/>
      <c r="H1" s="8"/>
      <c r="I1" s="4"/>
      <c r="J1" s="4"/>
      <c r="L1" s="12"/>
      <c r="M1" s="4"/>
      <c r="N1" s="4"/>
      <c r="O1" s="4"/>
      <c r="P1" s="13"/>
    </row>
    <row r="2" s="1" customFormat="1" spans="2:16">
      <c r="B2" s="5"/>
      <c r="P2" s="14"/>
    </row>
    <row r="3" s="1" customFormat="1" spans="2:16">
      <c r="B3" s="5"/>
      <c r="P3" s="14"/>
    </row>
    <row r="4" s="1" customFormat="1" spans="2:16">
      <c r="B4" s="5"/>
      <c r="P4" s="14"/>
    </row>
    <row r="5" s="1" customFormat="1" spans="2:16">
      <c r="B5" s="5"/>
      <c r="N5" s="15"/>
      <c r="P5" s="14"/>
    </row>
    <row r="6" s="1" customFormat="1" spans="2:16">
      <c r="B6" s="5"/>
      <c r="P6" s="14"/>
    </row>
    <row r="7" s="1" customFormat="1" spans="2:16">
      <c r="B7" s="5"/>
      <c r="P7" s="14"/>
    </row>
    <row r="8" s="1" customFormat="1" spans="2:16">
      <c r="B8" s="5"/>
      <c r="E8" s="9"/>
      <c r="P8" s="14"/>
    </row>
    <row r="9" s="1" customFormat="1" spans="2:16">
      <c r="B9" s="5"/>
      <c r="E9" s="9"/>
      <c r="P9" s="14"/>
    </row>
    <row r="10" s="1" customFormat="1" spans="2:16">
      <c r="B10" s="5"/>
      <c r="M10" s="14"/>
      <c r="O10" s="14"/>
      <c r="P10" s="14"/>
    </row>
    <row r="11" s="1" customFormat="1" spans="2:16">
      <c r="B11" s="5"/>
      <c r="P11" s="14"/>
    </row>
    <row r="12" s="1" customFormat="1" spans="2:16">
      <c r="B12" s="5"/>
      <c r="P12" s="14"/>
    </row>
    <row r="13" s="1" customFormat="1" spans="2:16">
      <c r="B13" s="5"/>
      <c r="P13" s="14"/>
    </row>
    <row r="14" s="1" customFormat="1" spans="2:16">
      <c r="B14" s="5"/>
      <c r="M14" s="14"/>
      <c r="O14" s="14"/>
      <c r="P14" s="14"/>
    </row>
    <row r="15" s="1" customFormat="1" spans="2:16">
      <c r="B15" s="5"/>
      <c r="P15" s="14"/>
    </row>
    <row r="16" s="1" customFormat="1" spans="2:16">
      <c r="B16" s="5"/>
      <c r="P16" s="14"/>
    </row>
    <row r="17" s="1" customFormat="1" spans="2:16">
      <c r="B17" s="5"/>
      <c r="P17" s="14"/>
    </row>
    <row r="18" s="1" customFormat="1" spans="2:16">
      <c r="B18" s="5"/>
      <c r="P18" s="14"/>
    </row>
    <row r="19" s="1" customFormat="1" spans="2:16">
      <c r="B19" s="5"/>
      <c r="P19" s="14"/>
    </row>
    <row r="20" s="1" customFormat="1" spans="2:16">
      <c r="B20" s="5"/>
      <c r="P20" s="14"/>
    </row>
    <row r="21" s="1" customFormat="1" spans="2:16">
      <c r="B21" s="5"/>
      <c r="P21" s="14"/>
    </row>
    <row r="22" s="1" customFormat="1" spans="2:16">
      <c r="B22" s="5"/>
      <c r="M22" s="14"/>
      <c r="O22" s="14"/>
      <c r="P22" s="14"/>
    </row>
    <row r="23" s="1" customFormat="1" spans="2:16">
      <c r="B23" s="5"/>
      <c r="P23" s="14"/>
    </row>
    <row r="24" s="1" customFormat="1" ht="17.6" spans="2:16">
      <c r="B24" s="5"/>
      <c r="E24" s="10"/>
      <c r="P24" s="14"/>
    </row>
    <row r="25" s="1" customFormat="1" spans="2:16">
      <c r="B25" s="5"/>
      <c r="P25" s="14"/>
    </row>
    <row r="26" s="1" customFormat="1" spans="2:16">
      <c r="B26" s="5"/>
      <c r="P26" s="14"/>
    </row>
    <row r="27" s="1" customFormat="1" spans="2:16">
      <c r="B27" s="5"/>
      <c r="P27" s="14"/>
    </row>
    <row r="28" s="1" customFormat="1" spans="2:16">
      <c r="B28" s="5"/>
      <c r="M28" s="9"/>
      <c r="O28" s="9"/>
      <c r="P28" s="14"/>
    </row>
    <row r="29" s="1" customFormat="1" spans="2:16">
      <c r="B29" s="5"/>
      <c r="M29" s="14"/>
      <c r="O29" s="14"/>
      <c r="P29" s="14"/>
    </row>
    <row r="30" s="1" customFormat="1" spans="2:16">
      <c r="B30" s="5"/>
      <c r="P30" s="14"/>
    </row>
    <row r="31" s="1" customFormat="1" spans="2:16">
      <c r="B31" s="5"/>
      <c r="P31" s="14"/>
    </row>
    <row r="32" s="1" customFormat="1" spans="2:16">
      <c r="B32" s="5"/>
      <c r="P32" s="14"/>
    </row>
    <row r="33" s="1" customFormat="1" spans="2:16">
      <c r="B33" s="5"/>
      <c r="P33" s="14"/>
    </row>
    <row r="34" s="1" customFormat="1" spans="2:16">
      <c r="B34" s="5"/>
      <c r="M34" s="14"/>
      <c r="O34" s="14"/>
      <c r="P34" s="14"/>
    </row>
    <row r="35" s="1" customFormat="1" spans="2:16">
      <c r="B35" s="5"/>
      <c r="P35" s="14"/>
    </row>
    <row r="36" s="1" customFormat="1" spans="2:16">
      <c r="B36" s="5"/>
      <c r="P36" s="14"/>
    </row>
    <row r="37" s="1" customFormat="1" spans="2:16">
      <c r="B37" s="5"/>
      <c r="M37" s="14"/>
      <c r="O37" s="14"/>
      <c r="P37" s="14"/>
    </row>
    <row r="38" s="1" customFormat="1" spans="2:16">
      <c r="B38" s="5"/>
      <c r="P38" s="14"/>
    </row>
    <row r="39" s="1" customFormat="1" spans="2:16">
      <c r="B39" s="5"/>
      <c r="P39" s="14"/>
    </row>
    <row r="40" s="1" customFormat="1" spans="2:16">
      <c r="B40" s="5"/>
      <c r="P40" s="14"/>
    </row>
    <row r="41" s="1" customFormat="1" spans="2:16">
      <c r="B41" s="5"/>
      <c r="P41" s="14"/>
    </row>
    <row r="42" customFormat="1" spans="1:16">
      <c r="A42" s="1"/>
      <c r="B42" s="5"/>
      <c r="C42" s="1"/>
      <c r="D42" s="2"/>
      <c r="E42" s="2"/>
      <c r="F42" s="1"/>
      <c r="G42" s="1"/>
      <c r="H42" s="1"/>
      <c r="I42" s="2"/>
      <c r="J42" s="1"/>
      <c r="K42" s="1"/>
      <c r="L42" s="2"/>
      <c r="M42" s="2"/>
      <c r="N42" s="2"/>
      <c r="P42" s="16"/>
    </row>
    <row r="43" customFormat="1" spans="1:16">
      <c r="A43" s="1"/>
      <c r="B43" s="6"/>
      <c r="C43" s="1"/>
      <c r="D43" s="2"/>
      <c r="E43" s="2"/>
      <c r="F43" s="1"/>
      <c r="G43" s="1"/>
      <c r="H43" s="1"/>
      <c r="I43" s="1"/>
      <c r="J43" s="1"/>
      <c r="K43" s="1"/>
      <c r="L43" s="1"/>
      <c r="M43" s="1"/>
      <c r="N43" s="1"/>
      <c r="O43" s="1"/>
      <c r="P43" s="16"/>
    </row>
    <row r="44" spans="1:16">
      <c r="A44" s="1"/>
      <c r="B44" s="6"/>
      <c r="C44" s="1"/>
      <c r="D44" s="2"/>
      <c r="E44" s="1"/>
      <c r="F44" s="1"/>
      <c r="G44" s="1"/>
      <c r="H44" s="1"/>
      <c r="I44" s="1"/>
      <c r="J44" s="1"/>
      <c r="K44" s="1"/>
      <c r="L44" s="1"/>
      <c r="M44" s="1"/>
      <c r="N44" s="1"/>
      <c r="O44" s="1"/>
      <c r="P44" s="14"/>
    </row>
    <row r="45" s="1" customFormat="1" spans="2:16">
      <c r="B45" s="5"/>
      <c r="P45" s="14"/>
    </row>
    <row r="46" s="1" customFormat="1" spans="2:16">
      <c r="B46" s="5"/>
      <c r="P46" s="14"/>
    </row>
    <row r="47" s="1" customFormat="1" spans="2:16">
      <c r="B47" s="5"/>
      <c r="M47" s="14"/>
      <c r="O47" s="14"/>
      <c r="P47" s="14"/>
    </row>
    <row r="48" s="1" customFormat="1" spans="2:16">
      <c r="B48" s="5"/>
      <c r="P48" s="14"/>
    </row>
    <row r="49" s="1" customFormat="1" spans="2:2">
      <c r="B49" s="5"/>
    </row>
    <row r="50" s="1" customFormat="1" spans="2:16">
      <c r="B50" s="5"/>
      <c r="M50" s="14"/>
      <c r="O50" s="14"/>
      <c r="P50" s="14"/>
    </row>
    <row r="51" s="1" customFormat="1" spans="2:16">
      <c r="B51" s="5"/>
      <c r="P51" s="14"/>
    </row>
    <row r="52" s="1" customFormat="1" spans="2:16">
      <c r="B52" s="5"/>
      <c r="P52" s="14"/>
    </row>
    <row r="53" s="1" customFormat="1" spans="2:16">
      <c r="B53" s="5"/>
      <c r="P53" s="14"/>
    </row>
    <row r="54" s="1" customFormat="1" spans="2:16">
      <c r="B54" s="5"/>
      <c r="P54" s="14"/>
    </row>
    <row r="55" s="1" customFormat="1" ht="17.6" spans="2:16">
      <c r="B55" s="5"/>
      <c r="E55" s="11"/>
      <c r="P55" s="14"/>
    </row>
    <row r="56" s="1" customFormat="1" spans="2:16">
      <c r="B56" s="5"/>
      <c r="P56" s="14"/>
    </row>
    <row r="57" s="1" customFormat="1" spans="2:16">
      <c r="B57" s="5"/>
      <c r="M57" s="9"/>
      <c r="O57" s="9"/>
      <c r="P57" s="14"/>
    </row>
    <row r="58" s="1" customFormat="1" spans="2:16">
      <c r="B58" s="5"/>
      <c r="P58" s="14"/>
    </row>
    <row r="59" s="2" customFormat="1" spans="1:16">
      <c r="A59" s="1"/>
      <c r="B59" s="7"/>
      <c r="C59" s="1"/>
      <c r="E59" s="9"/>
      <c r="F59" s="1"/>
      <c r="G59" s="1"/>
      <c r="H59" s="1"/>
      <c r="I59" s="1"/>
      <c r="J59" s="1"/>
      <c r="K59" s="1"/>
      <c r="P59" s="14"/>
    </row>
    <row r="60" s="2" customFormat="1" spans="1:16">
      <c r="A60" s="1"/>
      <c r="B60" s="5"/>
      <c r="C60" s="1"/>
      <c r="E60" s="1"/>
      <c r="F60" s="1"/>
      <c r="G60" s="1"/>
      <c r="H60" s="1"/>
      <c r="I60" s="1"/>
      <c r="J60" s="1"/>
      <c r="K60" s="1"/>
      <c r="P60" s="14"/>
    </row>
    <row r="61" s="2" customFormat="1" spans="1:16">
      <c r="A61" s="1"/>
      <c r="B61" s="5"/>
      <c r="C61" s="1"/>
      <c r="E61" s="1"/>
      <c r="F61" s="1"/>
      <c r="G61" s="1"/>
      <c r="H61" s="1"/>
      <c r="I61" s="1"/>
      <c r="J61" s="1"/>
      <c r="K61" s="1"/>
      <c r="P61" s="14"/>
    </row>
    <row r="62" s="2" customFormat="1" spans="1:16">
      <c r="A62" s="1"/>
      <c r="B62" s="5"/>
      <c r="C62" s="1"/>
      <c r="E62" s="1"/>
      <c r="F62" s="1"/>
      <c r="G62" s="1"/>
      <c r="H62" s="1"/>
      <c r="I62" s="1"/>
      <c r="J62" s="1"/>
      <c r="K62" s="1"/>
      <c r="P62" s="14"/>
    </row>
    <row r="63" s="2" customFormat="1" spans="1:16">
      <c r="A63" s="1"/>
      <c r="B63" s="5"/>
      <c r="C63" s="1"/>
      <c r="E63" s="1"/>
      <c r="F63" s="1"/>
      <c r="G63" s="1"/>
      <c r="H63" s="1"/>
      <c r="I63" s="1"/>
      <c r="J63" s="1"/>
      <c r="K63" s="1"/>
      <c r="P63" s="14"/>
    </row>
    <row r="64" s="2" customFormat="1" spans="1:16">
      <c r="A64" s="1"/>
      <c r="B64" s="5"/>
      <c r="C64" s="1"/>
      <c r="E64" s="1"/>
      <c r="F64" s="1"/>
      <c r="G64" s="1"/>
      <c r="H64" s="1"/>
      <c r="I64" s="1"/>
      <c r="J64" s="1"/>
      <c r="K64" s="1"/>
      <c r="P64" s="14"/>
    </row>
    <row r="65" s="2" customFormat="1" spans="1:16">
      <c r="A65" s="1"/>
      <c r="B65" s="5"/>
      <c r="C65" s="1"/>
      <c r="E65" s="1"/>
      <c r="F65" s="1"/>
      <c r="G65" s="1"/>
      <c r="H65" s="1"/>
      <c r="I65" s="1"/>
      <c r="J65" s="1"/>
      <c r="K65" s="1"/>
      <c r="P65" s="14"/>
    </row>
    <row r="66" s="2" customFormat="1" spans="1:16">
      <c r="A66" s="1"/>
      <c r="B66" s="5"/>
      <c r="C66" s="1"/>
      <c r="E66" s="1"/>
      <c r="F66" s="1"/>
      <c r="G66" s="1"/>
      <c r="H66" s="1"/>
      <c r="I66" s="1"/>
      <c r="J66" s="1"/>
      <c r="K66" s="1"/>
      <c r="P66" s="14"/>
    </row>
    <row r="67" s="2" customFormat="1" spans="1:16">
      <c r="A67" s="1"/>
      <c r="B67" s="5"/>
      <c r="C67" s="1"/>
      <c r="E67" s="1"/>
      <c r="F67" s="1"/>
      <c r="G67" s="1"/>
      <c r="H67" s="1"/>
      <c r="I67" s="1"/>
      <c r="J67" s="1"/>
      <c r="K67" s="1"/>
      <c r="P67" s="14"/>
    </row>
    <row r="68" s="2" customFormat="1" spans="1:16">
      <c r="A68" s="1"/>
      <c r="B68" s="5"/>
      <c r="C68" s="1"/>
      <c r="E68" s="1"/>
      <c r="F68" s="1"/>
      <c r="G68" s="1"/>
      <c r="H68" s="1"/>
      <c r="I68" s="1"/>
      <c r="J68" s="1"/>
      <c r="K68" s="1"/>
      <c r="P68" s="14"/>
    </row>
    <row r="69" s="2" customFormat="1" spans="1:16">
      <c r="A69" s="1"/>
      <c r="B69" s="5"/>
      <c r="C69" s="1"/>
      <c r="E69" s="1"/>
      <c r="F69" s="1"/>
      <c r="G69" s="1"/>
      <c r="H69" s="1"/>
      <c r="I69" s="1"/>
      <c r="J69" s="1"/>
      <c r="K69" s="1"/>
      <c r="M69" s="1"/>
      <c r="O69" s="1"/>
      <c r="P69" s="14"/>
    </row>
    <row r="70" s="2" customFormat="1" spans="1:16">
      <c r="A70" s="1"/>
      <c r="B70" s="5"/>
      <c r="C70" s="1"/>
      <c r="E70" s="1"/>
      <c r="F70" s="1"/>
      <c r="G70" s="1"/>
      <c r="H70" s="1"/>
      <c r="I70" s="1"/>
      <c r="J70" s="1"/>
      <c r="K70" s="1"/>
      <c r="M70" s="1"/>
      <c r="O70" s="1"/>
      <c r="P70" s="14"/>
    </row>
    <row r="71" s="2" customFormat="1" spans="1:16">
      <c r="A71" s="1"/>
      <c r="B71" s="5"/>
      <c r="C71" s="1"/>
      <c r="E71" s="1"/>
      <c r="F71" s="1"/>
      <c r="G71" s="1"/>
      <c r="H71" s="1"/>
      <c r="I71" s="1"/>
      <c r="J71" s="1"/>
      <c r="K71" s="1"/>
      <c r="M71" s="1"/>
      <c r="O71" s="1"/>
      <c r="P71" s="14"/>
    </row>
    <row r="72" s="2" customFormat="1" spans="1:16">
      <c r="A72" s="1"/>
      <c r="B72" s="5"/>
      <c r="C72" s="1"/>
      <c r="E72" s="1"/>
      <c r="F72" s="1"/>
      <c r="G72" s="1"/>
      <c r="H72" s="1"/>
      <c r="I72" s="1"/>
      <c r="J72" s="1"/>
      <c r="K72" s="1"/>
      <c r="M72" s="1"/>
      <c r="O72" s="1"/>
      <c r="P72" s="14"/>
    </row>
    <row r="73" s="2" customFormat="1" spans="1:16">
      <c r="A73" s="1"/>
      <c r="B73" s="5"/>
      <c r="C73" s="1"/>
      <c r="E73" s="1"/>
      <c r="F73" s="1"/>
      <c r="G73" s="1"/>
      <c r="H73" s="1"/>
      <c r="I73" s="1"/>
      <c r="J73" s="1"/>
      <c r="K73" s="1"/>
      <c r="M73" s="1"/>
      <c r="O73" s="1"/>
      <c r="P73" s="14"/>
    </row>
    <row r="74" s="2" customFormat="1" spans="1:16">
      <c r="A74" s="1"/>
      <c r="B74" s="5"/>
      <c r="C74" s="1"/>
      <c r="E74" s="1"/>
      <c r="F74" s="1"/>
      <c r="G74" s="1"/>
      <c r="H74" s="1"/>
      <c r="I74" s="1"/>
      <c r="J74" s="1"/>
      <c r="K74" s="1"/>
      <c r="M74" s="1"/>
      <c r="O74" s="1"/>
      <c r="P74" s="14"/>
    </row>
    <row r="75" customFormat="1" spans="1:16">
      <c r="A75" s="1"/>
      <c r="B75" s="5"/>
      <c r="C75" s="1"/>
      <c r="D75" s="2"/>
      <c r="E75" s="18"/>
      <c r="F75" s="1"/>
      <c r="G75" s="1"/>
      <c r="H75" s="1"/>
      <c r="I75" s="1"/>
      <c r="J75" s="18"/>
      <c r="K75" s="18"/>
      <c r="L75" s="2"/>
      <c r="M75" s="1"/>
      <c r="N75" s="2"/>
      <c r="O75" s="18"/>
      <c r="P75" s="14"/>
    </row>
    <row r="76" s="2" customFormat="1" spans="1:16">
      <c r="A76" s="1"/>
      <c r="B76" s="5"/>
      <c r="C76" s="1"/>
      <c r="E76" s="9"/>
      <c r="F76" s="1"/>
      <c r="G76" s="1"/>
      <c r="H76" s="1"/>
      <c r="J76" s="1"/>
      <c r="K76" s="1"/>
      <c r="M76" s="1"/>
      <c r="O76" s="1"/>
      <c r="P76" s="14"/>
    </row>
    <row r="77" s="2" customFormat="1" spans="1:16">
      <c r="A77" s="1"/>
      <c r="B77" s="5"/>
      <c r="C77" s="1"/>
      <c r="E77" s="9"/>
      <c r="F77" s="1"/>
      <c r="G77" s="1"/>
      <c r="H77" s="1"/>
      <c r="J77" s="1"/>
      <c r="K77" s="1"/>
      <c r="M77" s="1"/>
      <c r="O77" s="1"/>
      <c r="P77" s="14"/>
    </row>
    <row r="78" s="2" customFormat="1" spans="1:16">
      <c r="A78" s="1"/>
      <c r="B78" s="5"/>
      <c r="C78" s="1"/>
      <c r="E78" s="1"/>
      <c r="F78" s="1"/>
      <c r="G78" s="1"/>
      <c r="H78" s="1"/>
      <c r="I78" s="1"/>
      <c r="J78" s="1"/>
      <c r="K78" s="1"/>
      <c r="M78" s="1"/>
      <c r="O78" s="1"/>
      <c r="P78" s="14"/>
    </row>
    <row r="79" s="2" customFormat="1" spans="1:16">
      <c r="A79" s="1"/>
      <c r="B79" s="5"/>
      <c r="C79" s="1"/>
      <c r="E79" s="1"/>
      <c r="F79" s="1"/>
      <c r="G79" s="1"/>
      <c r="H79" s="1"/>
      <c r="I79" s="1"/>
      <c r="J79" s="1"/>
      <c r="K79" s="1"/>
      <c r="M79" s="9"/>
      <c r="O79" s="9"/>
      <c r="P79" s="14"/>
    </row>
    <row r="80" s="2" customFormat="1" spans="1:16">
      <c r="A80" s="1"/>
      <c r="B80" s="5"/>
      <c r="C80" s="1"/>
      <c r="E80" s="1"/>
      <c r="F80" s="1"/>
      <c r="G80" s="1"/>
      <c r="H80" s="1"/>
      <c r="I80" s="1"/>
      <c r="J80" s="1"/>
      <c r="K80" s="1"/>
      <c r="M80" s="1"/>
      <c r="O80" s="1"/>
      <c r="P80" s="14"/>
    </row>
    <row r="81" s="2" customFormat="1" spans="1:16">
      <c r="A81" s="1"/>
      <c r="B81" s="5"/>
      <c r="C81" s="1"/>
      <c r="E81" s="1"/>
      <c r="F81" s="1"/>
      <c r="G81" s="1"/>
      <c r="H81" s="1"/>
      <c r="I81" s="1"/>
      <c r="J81" s="1"/>
      <c r="K81" s="1"/>
      <c r="M81" s="1"/>
      <c r="O81" s="1"/>
      <c r="P81" s="14"/>
    </row>
    <row r="82" s="2" customFormat="1" spans="1:16">
      <c r="A82" s="1"/>
      <c r="B82" s="5"/>
      <c r="C82" s="1"/>
      <c r="F82" s="1"/>
      <c r="G82" s="1"/>
      <c r="H82" s="1"/>
      <c r="I82" s="1"/>
      <c r="J82" s="1"/>
      <c r="K82" s="1"/>
      <c r="O82" s="1"/>
      <c r="P82" s="14"/>
    </row>
    <row r="83" s="2" customFormat="1" spans="1:16">
      <c r="A83" s="1"/>
      <c r="B83" s="5"/>
      <c r="C83" s="1"/>
      <c r="F83" s="1"/>
      <c r="G83" s="1"/>
      <c r="H83" s="1"/>
      <c r="I83" s="1"/>
      <c r="J83" s="1"/>
      <c r="K83" s="1"/>
      <c r="O83" s="1"/>
      <c r="P83" s="14"/>
    </row>
    <row r="84" s="2" customFormat="1" spans="1:16">
      <c r="A84" s="1"/>
      <c r="B84" s="5"/>
      <c r="C84" s="1"/>
      <c r="F84" s="1"/>
      <c r="G84" s="1"/>
      <c r="H84" s="1"/>
      <c r="I84" s="1"/>
      <c r="J84" s="1"/>
      <c r="K84" s="1"/>
      <c r="O84" s="1"/>
      <c r="P84" s="14"/>
    </row>
    <row r="85" s="2" customFormat="1" spans="1:16">
      <c r="A85" s="1"/>
      <c r="B85" s="5"/>
      <c r="C85" s="1"/>
      <c r="F85" s="1"/>
      <c r="G85" s="1"/>
      <c r="H85" s="1"/>
      <c r="I85" s="1"/>
      <c r="J85" s="1"/>
      <c r="K85" s="1"/>
      <c r="P85" s="14"/>
    </row>
    <row r="86" s="2" customFormat="1" spans="1:16">
      <c r="A86" s="1"/>
      <c r="B86" s="5"/>
      <c r="C86" s="1"/>
      <c r="F86" s="1"/>
      <c r="G86" s="1"/>
      <c r="H86" s="1"/>
      <c r="I86" s="1"/>
      <c r="J86" s="1"/>
      <c r="K86" s="1"/>
      <c r="P86" s="14"/>
    </row>
    <row r="87" s="2" customFormat="1" spans="1:16">
      <c r="A87" s="1"/>
      <c r="B87" s="5"/>
      <c r="C87" s="1"/>
      <c r="F87" s="1"/>
      <c r="G87" s="1"/>
      <c r="H87" s="1"/>
      <c r="I87" s="1"/>
      <c r="J87" s="1"/>
      <c r="K87" s="1"/>
      <c r="P87" s="14"/>
    </row>
    <row r="88" s="2" customFormat="1" spans="1:16">
      <c r="A88" s="1"/>
      <c r="B88" s="5"/>
      <c r="C88" s="1"/>
      <c r="F88" s="1"/>
      <c r="G88" s="1"/>
      <c r="H88" s="1"/>
      <c r="I88" s="1"/>
      <c r="J88" s="1"/>
      <c r="K88" s="1"/>
      <c r="P88" s="14"/>
    </row>
    <row r="89" s="2" customFormat="1" spans="1:16">
      <c r="A89" s="1"/>
      <c r="B89" s="5"/>
      <c r="C89" s="1"/>
      <c r="F89" s="1"/>
      <c r="G89" s="1"/>
      <c r="H89" s="1"/>
      <c r="I89" s="1"/>
      <c r="J89" s="1"/>
      <c r="K89" s="1"/>
      <c r="P89" s="14"/>
    </row>
    <row r="90" s="2" customFormat="1" spans="1:16">
      <c r="A90" s="1"/>
      <c r="B90" s="5"/>
      <c r="C90" s="1"/>
      <c r="F90" s="1"/>
      <c r="G90" s="1"/>
      <c r="H90" s="1"/>
      <c r="I90" s="1"/>
      <c r="J90" s="1"/>
      <c r="K90" s="1"/>
      <c r="P90" s="14"/>
    </row>
    <row r="91" s="2" customFormat="1" spans="1:16">
      <c r="A91" s="1"/>
      <c r="B91" s="5"/>
      <c r="C91" s="1"/>
      <c r="F91" s="1"/>
      <c r="G91" s="1"/>
      <c r="H91" s="1"/>
      <c r="I91" s="1"/>
      <c r="J91" s="1"/>
      <c r="K91" s="1"/>
      <c r="P91" s="14"/>
    </row>
    <row r="92" s="2" customFormat="1" spans="1:16">
      <c r="A92" s="1"/>
      <c r="B92" s="5"/>
      <c r="C92" s="1"/>
      <c r="E92" s="19"/>
      <c r="F92" s="1"/>
      <c r="G92" s="1"/>
      <c r="H92" s="1"/>
      <c r="I92" s="1"/>
      <c r="J92" s="1"/>
      <c r="K92" s="1"/>
      <c r="M92" s="19"/>
      <c r="O92" s="19"/>
      <c r="P92" s="14"/>
    </row>
    <row r="93" s="2" customFormat="1" spans="1:16">
      <c r="A93" s="1"/>
      <c r="B93" s="5"/>
      <c r="C93" s="1"/>
      <c r="E93" s="1"/>
      <c r="F93" s="1"/>
      <c r="G93" s="1"/>
      <c r="H93" s="1"/>
      <c r="I93" s="1"/>
      <c r="J93" s="1"/>
      <c r="K93" s="1"/>
      <c r="P93" s="14"/>
    </row>
    <row r="94" s="2" customFormat="1" spans="1:16">
      <c r="A94" s="1"/>
      <c r="B94" s="5"/>
      <c r="C94" s="1"/>
      <c r="E94" s="1"/>
      <c r="F94" s="1"/>
      <c r="G94" s="1"/>
      <c r="H94" s="1"/>
      <c r="I94" s="1"/>
      <c r="J94" s="1"/>
      <c r="K94" s="1"/>
      <c r="P94" s="14"/>
    </row>
    <row r="95" s="2" customFormat="1" spans="1:16">
      <c r="A95" s="1"/>
      <c r="B95" s="5"/>
      <c r="C95" s="1"/>
      <c r="E95" s="1"/>
      <c r="F95" s="1"/>
      <c r="G95" s="1"/>
      <c r="H95" s="1"/>
      <c r="I95" s="1"/>
      <c r="J95" s="1"/>
      <c r="K95" s="1"/>
      <c r="P95" s="14"/>
    </row>
    <row r="96" s="2" customFormat="1" spans="1:16">
      <c r="A96" s="1"/>
      <c r="B96" s="5"/>
      <c r="C96" s="1"/>
      <c r="E96" s="1"/>
      <c r="F96" s="1"/>
      <c r="G96" s="1"/>
      <c r="H96" s="1"/>
      <c r="I96" s="1"/>
      <c r="J96" s="1"/>
      <c r="K96" s="1"/>
      <c r="P96" s="14"/>
    </row>
    <row r="97" s="2" customFormat="1" spans="1:16">
      <c r="A97" s="1"/>
      <c r="B97" s="5"/>
      <c r="C97" s="1"/>
      <c r="E97" s="1"/>
      <c r="F97" s="1"/>
      <c r="G97" s="1"/>
      <c r="H97" s="1"/>
      <c r="I97" s="1"/>
      <c r="J97" s="1"/>
      <c r="K97" s="1"/>
      <c r="P97" s="14"/>
    </row>
    <row r="98" s="2" customFormat="1" spans="1:16">
      <c r="A98" s="1"/>
      <c r="B98" s="5"/>
      <c r="C98" s="1"/>
      <c r="E98" s="1"/>
      <c r="F98" s="1"/>
      <c r="G98" s="1"/>
      <c r="H98" s="1"/>
      <c r="I98" s="1"/>
      <c r="J98" s="1"/>
      <c r="K98" s="1"/>
      <c r="P98" s="14"/>
    </row>
    <row r="99" s="2" customFormat="1" spans="1:16">
      <c r="A99" s="1"/>
      <c r="B99" s="5"/>
      <c r="C99" s="1"/>
      <c r="E99" s="1"/>
      <c r="F99" s="1"/>
      <c r="G99" s="1"/>
      <c r="H99" s="1"/>
      <c r="I99" s="1"/>
      <c r="J99" s="1"/>
      <c r="K99" s="1"/>
      <c r="P99" s="14"/>
    </row>
    <row r="100" s="2" customFormat="1" spans="1:16">
      <c r="A100" s="1"/>
      <c r="B100" s="5"/>
      <c r="C100" s="1"/>
      <c r="E100" s="1"/>
      <c r="F100" s="1"/>
      <c r="G100" s="1"/>
      <c r="H100" s="1"/>
      <c r="I100" s="1"/>
      <c r="J100" s="1"/>
      <c r="K100" s="1"/>
      <c r="P100" s="14"/>
    </row>
    <row r="101" s="2" customFormat="1" spans="1:16">
      <c r="A101" s="1"/>
      <c r="B101" s="5"/>
      <c r="C101" s="1"/>
      <c r="E101" s="1"/>
      <c r="F101" s="1"/>
      <c r="G101" s="1"/>
      <c r="H101" s="1"/>
      <c r="I101" s="1"/>
      <c r="J101" s="1"/>
      <c r="K101" s="1"/>
      <c r="P101" s="14"/>
    </row>
    <row r="102" s="2" customFormat="1" spans="1:16">
      <c r="A102" s="1"/>
      <c r="B102" s="5"/>
      <c r="C102" s="1"/>
      <c r="E102" s="1"/>
      <c r="F102" s="1"/>
      <c r="G102" s="1"/>
      <c r="H102" s="1"/>
      <c r="I102" s="1"/>
      <c r="J102" s="1"/>
      <c r="K102" s="1"/>
      <c r="M102" s="19"/>
      <c r="O102" s="19"/>
      <c r="P102" s="14"/>
    </row>
    <row r="103" s="2" customFormat="1" spans="1:16">
      <c r="A103" s="1"/>
      <c r="B103" s="5"/>
      <c r="C103" s="1"/>
      <c r="E103" s="1"/>
      <c r="F103" s="1"/>
      <c r="G103" s="1"/>
      <c r="H103" s="1"/>
      <c r="I103" s="1"/>
      <c r="J103" s="1"/>
      <c r="K103" s="1"/>
      <c r="M103" s="19"/>
      <c r="O103" s="19"/>
      <c r="P103" s="14"/>
    </row>
    <row r="104" s="2" customFormat="1" spans="1:16">
      <c r="A104" s="1"/>
      <c r="B104" s="5"/>
      <c r="C104" s="1"/>
      <c r="E104" s="1"/>
      <c r="F104" s="1"/>
      <c r="G104" s="1"/>
      <c r="H104" s="1"/>
      <c r="I104" s="1"/>
      <c r="J104" s="1"/>
      <c r="K104" s="1"/>
      <c r="P104" s="14"/>
    </row>
    <row r="105" s="2" customFormat="1" spans="1:16">
      <c r="A105" s="1"/>
      <c r="B105" s="5"/>
      <c r="C105" s="1"/>
      <c r="E105" s="1"/>
      <c r="F105" s="1"/>
      <c r="G105" s="1"/>
      <c r="H105" s="1"/>
      <c r="I105" s="1"/>
      <c r="J105" s="1"/>
      <c r="K105" s="1"/>
      <c r="P105" s="14"/>
    </row>
    <row r="106" s="2" customFormat="1" spans="1:16">
      <c r="A106" s="1"/>
      <c r="B106" s="5"/>
      <c r="C106" s="1"/>
      <c r="E106" s="1"/>
      <c r="F106" s="1"/>
      <c r="G106" s="1"/>
      <c r="H106" s="1"/>
      <c r="I106" s="1"/>
      <c r="J106" s="1"/>
      <c r="K106" s="1"/>
      <c r="P106" s="14"/>
    </row>
    <row r="107" customFormat="1" spans="1:16">
      <c r="A107" s="1"/>
      <c r="B107" s="17"/>
      <c r="C107" s="1"/>
      <c r="E107" s="18"/>
      <c r="F107" s="1"/>
      <c r="G107" s="1"/>
      <c r="H107" s="1"/>
      <c r="I107" s="1"/>
      <c r="J107" s="18"/>
      <c r="K107" s="18"/>
      <c r="L107" s="2"/>
      <c r="M107" s="22"/>
      <c r="N107" s="2"/>
      <c r="O107" s="22"/>
      <c r="P107" s="14"/>
    </row>
    <row r="108" customFormat="1" spans="1:16">
      <c r="A108" s="1"/>
      <c r="B108" s="17"/>
      <c r="C108" s="1"/>
      <c r="D108" s="2"/>
      <c r="E108" s="18"/>
      <c r="F108" s="1"/>
      <c r="G108" s="1"/>
      <c r="H108" s="1"/>
      <c r="I108" s="1"/>
      <c r="J108" s="18"/>
      <c r="K108" s="18"/>
      <c r="L108" s="2"/>
      <c r="N108" s="2"/>
      <c r="P108" s="14"/>
    </row>
    <row r="109" customFormat="1" spans="1:16">
      <c r="A109" s="1"/>
      <c r="B109" s="17"/>
      <c r="C109" s="1"/>
      <c r="D109" s="2"/>
      <c r="E109" s="18"/>
      <c r="F109" s="1"/>
      <c r="G109" s="1"/>
      <c r="H109" s="1"/>
      <c r="I109" s="1"/>
      <c r="J109" s="18"/>
      <c r="K109" s="18"/>
      <c r="L109" s="2"/>
      <c r="M109" s="3"/>
      <c r="N109" s="2"/>
      <c r="O109" s="3"/>
      <c r="P109" s="3"/>
    </row>
    <row r="110" customFormat="1" spans="1:16">
      <c r="A110" s="1"/>
      <c r="B110" s="17"/>
      <c r="C110" s="1"/>
      <c r="D110" s="2"/>
      <c r="E110" s="18"/>
      <c r="F110" s="1"/>
      <c r="G110" s="1"/>
      <c r="H110" s="1"/>
      <c r="I110" s="1"/>
      <c r="J110" s="18"/>
      <c r="K110" s="18"/>
      <c r="L110" s="2"/>
      <c r="N110" s="2"/>
      <c r="P110" s="14"/>
    </row>
    <row r="111" customFormat="1" spans="1:16">
      <c r="A111" s="1"/>
      <c r="B111" s="17"/>
      <c r="C111" s="1"/>
      <c r="D111" s="2"/>
      <c r="E111" s="18"/>
      <c r="F111" s="1"/>
      <c r="G111" s="1"/>
      <c r="H111" s="1"/>
      <c r="I111" s="1"/>
      <c r="J111" s="18"/>
      <c r="K111" s="18"/>
      <c r="L111" s="2"/>
      <c r="N111" s="2"/>
      <c r="P111" s="14"/>
    </row>
    <row r="112" customFormat="1" spans="1:16">
      <c r="A112" s="1"/>
      <c r="B112" s="17"/>
      <c r="C112" s="1"/>
      <c r="D112" s="2"/>
      <c r="E112" s="18"/>
      <c r="F112" s="1"/>
      <c r="G112" s="1"/>
      <c r="H112" s="1"/>
      <c r="I112" s="1"/>
      <c r="J112" s="18"/>
      <c r="K112" s="18"/>
      <c r="L112" s="2"/>
      <c r="N112" s="2"/>
      <c r="P112" s="14"/>
    </row>
    <row r="113" customFormat="1" spans="1:16">
      <c r="A113" s="1"/>
      <c r="B113" s="17"/>
      <c r="C113" s="1"/>
      <c r="D113" s="2"/>
      <c r="E113" s="18"/>
      <c r="F113" s="1"/>
      <c r="G113" s="1"/>
      <c r="H113" s="1"/>
      <c r="I113" s="1"/>
      <c r="J113" s="18"/>
      <c r="K113" s="18"/>
      <c r="L113" s="2"/>
      <c r="N113" s="2"/>
      <c r="P113" s="14"/>
    </row>
    <row r="114" customFormat="1" spans="1:16">
      <c r="A114" s="1"/>
      <c r="B114" s="17"/>
      <c r="C114" s="1"/>
      <c r="D114" s="2"/>
      <c r="E114" s="18"/>
      <c r="F114" s="1"/>
      <c r="G114" s="1"/>
      <c r="H114" s="1"/>
      <c r="I114" s="1"/>
      <c r="J114" s="18"/>
      <c r="K114" s="18"/>
      <c r="L114" s="2"/>
      <c r="N114" s="2"/>
      <c r="P114" s="14"/>
    </row>
    <row r="115" customFormat="1" spans="1:16">
      <c r="A115" s="1"/>
      <c r="B115" s="6"/>
      <c r="C115" s="1"/>
      <c r="D115" s="2"/>
      <c r="E115" s="1"/>
      <c r="F115" s="1"/>
      <c r="G115" s="1"/>
      <c r="H115" s="1"/>
      <c r="I115" s="1"/>
      <c r="J115" s="18"/>
      <c r="K115" s="18"/>
      <c r="L115" s="2"/>
      <c r="M115" s="2"/>
      <c r="N115" s="2"/>
      <c r="O115" s="2"/>
      <c r="P115" s="14"/>
    </row>
    <row r="116" customFormat="1" spans="1:16">
      <c r="A116" s="1"/>
      <c r="B116" s="6"/>
      <c r="C116" s="1"/>
      <c r="D116" s="2"/>
      <c r="E116" s="18"/>
      <c r="F116" s="1"/>
      <c r="G116" s="1"/>
      <c r="H116" s="1"/>
      <c r="I116" s="1"/>
      <c r="J116" s="18"/>
      <c r="K116" s="18"/>
      <c r="L116" s="2"/>
      <c r="M116" s="18"/>
      <c r="N116" s="2"/>
      <c r="O116" s="18"/>
      <c r="P116" s="14"/>
    </row>
    <row r="117" customFormat="1" spans="1:16">
      <c r="A117" s="1"/>
      <c r="B117" s="6"/>
      <c r="C117" s="1"/>
      <c r="D117" s="2"/>
      <c r="E117" s="18"/>
      <c r="F117" s="1"/>
      <c r="G117" s="1"/>
      <c r="H117" s="1"/>
      <c r="I117" s="1"/>
      <c r="J117" s="18"/>
      <c r="K117" s="18"/>
      <c r="L117" s="2"/>
      <c r="M117" s="18"/>
      <c r="N117" s="2"/>
      <c r="P117" s="14"/>
    </row>
    <row r="118" customFormat="1" ht="17.6" spans="1:16">
      <c r="A118" s="1"/>
      <c r="B118" s="6"/>
      <c r="C118" s="1"/>
      <c r="D118" s="2"/>
      <c r="E118" s="18"/>
      <c r="F118" s="1"/>
      <c r="G118" s="1"/>
      <c r="H118" s="1"/>
      <c r="I118" s="1"/>
      <c r="J118" s="18"/>
      <c r="K118" s="18"/>
      <c r="L118" s="2"/>
      <c r="M118" s="18"/>
      <c r="N118" s="2"/>
      <c r="O118" s="23"/>
      <c r="P118" s="14"/>
    </row>
    <row r="119" customFormat="1" spans="1:16">
      <c r="A119" s="1"/>
      <c r="B119" s="6"/>
      <c r="C119" s="1"/>
      <c r="D119" s="2"/>
      <c r="E119" s="18"/>
      <c r="F119" s="1"/>
      <c r="G119" s="1"/>
      <c r="H119" s="1"/>
      <c r="I119" s="1"/>
      <c r="J119" s="18"/>
      <c r="K119" s="18"/>
      <c r="L119" s="2"/>
      <c r="M119" s="18"/>
      <c r="N119" s="2"/>
      <c r="O119" s="18"/>
      <c r="P119" s="14"/>
    </row>
    <row r="120" customFormat="1" spans="1:16">
      <c r="A120" s="1"/>
      <c r="B120" s="17"/>
      <c r="C120" s="1"/>
      <c r="D120" s="2"/>
      <c r="E120" s="18"/>
      <c r="F120" s="1"/>
      <c r="G120" s="1"/>
      <c r="H120" s="1"/>
      <c r="I120" s="1"/>
      <c r="J120" s="18"/>
      <c r="K120" s="18"/>
      <c r="L120" s="2"/>
      <c r="M120" s="18"/>
      <c r="N120" s="2"/>
      <c r="O120" s="18"/>
      <c r="P120" s="14"/>
    </row>
    <row r="121" customFormat="1" spans="1:16">
      <c r="A121" s="1"/>
      <c r="B121" s="17"/>
      <c r="C121" s="1"/>
      <c r="D121" s="2"/>
      <c r="E121" s="18"/>
      <c r="F121" s="1"/>
      <c r="G121" s="1"/>
      <c r="H121" s="1"/>
      <c r="I121" s="1"/>
      <c r="J121" s="18"/>
      <c r="K121" s="18"/>
      <c r="L121" s="21"/>
      <c r="M121" s="18"/>
      <c r="N121" s="2"/>
      <c r="O121" s="18"/>
      <c r="P121" s="14"/>
    </row>
    <row r="122" customFormat="1" spans="1:16">
      <c r="A122" s="1"/>
      <c r="B122" s="17"/>
      <c r="C122" s="1"/>
      <c r="D122" s="2"/>
      <c r="E122" s="18"/>
      <c r="F122" s="1"/>
      <c r="G122" s="1"/>
      <c r="H122" s="1"/>
      <c r="I122" s="1"/>
      <c r="J122" s="18"/>
      <c r="K122" s="18"/>
      <c r="L122" s="2"/>
      <c r="M122" s="18"/>
      <c r="N122" s="2"/>
      <c r="O122" s="18"/>
      <c r="P122" s="14"/>
    </row>
    <row r="123" customFormat="1" spans="1:16">
      <c r="A123" s="1"/>
      <c r="B123" s="17"/>
      <c r="C123" s="1"/>
      <c r="D123" s="2"/>
      <c r="E123" s="18"/>
      <c r="F123" s="1"/>
      <c r="G123" s="1"/>
      <c r="H123" s="1"/>
      <c r="I123" s="1"/>
      <c r="J123" s="18"/>
      <c r="K123" s="18"/>
      <c r="L123" s="2"/>
      <c r="M123" s="18"/>
      <c r="N123" s="2"/>
      <c r="O123" s="18"/>
      <c r="P123" s="14"/>
    </row>
    <row r="124" customFormat="1" spans="1:16">
      <c r="A124" s="1"/>
      <c r="B124" s="17"/>
      <c r="C124" s="1"/>
      <c r="D124" s="2"/>
      <c r="E124" s="20"/>
      <c r="F124" s="1"/>
      <c r="G124" s="1"/>
      <c r="H124" s="1"/>
      <c r="I124" s="1"/>
      <c r="J124" s="18"/>
      <c r="K124" s="18"/>
      <c r="L124" s="2"/>
      <c r="M124" s="18"/>
      <c r="N124" s="2"/>
      <c r="O124" s="18"/>
      <c r="P124" s="14"/>
    </row>
    <row r="125" customFormat="1" spans="1:16">
      <c r="A125" s="1"/>
      <c r="B125" s="17"/>
      <c r="C125" s="1"/>
      <c r="D125" s="2"/>
      <c r="E125" s="18"/>
      <c r="F125" s="1"/>
      <c r="G125" s="1"/>
      <c r="H125" s="1"/>
      <c r="I125" s="1"/>
      <c r="J125" s="18"/>
      <c r="K125" s="18"/>
      <c r="L125" s="2"/>
      <c r="M125" s="18"/>
      <c r="N125" s="2"/>
      <c r="O125" s="18"/>
      <c r="P125" s="14"/>
    </row>
    <row r="126" customFormat="1" spans="1:16">
      <c r="A126" s="1"/>
      <c r="B126" s="17"/>
      <c r="C126" s="1"/>
      <c r="D126" s="2"/>
      <c r="E126" s="18"/>
      <c r="F126" s="1"/>
      <c r="G126" s="1"/>
      <c r="H126" s="1"/>
      <c r="I126" s="1"/>
      <c r="J126" s="18"/>
      <c r="K126" s="18"/>
      <c r="L126" s="2"/>
      <c r="M126" s="18"/>
      <c r="N126" s="2"/>
      <c r="O126" s="18"/>
      <c r="P126" s="14"/>
    </row>
    <row r="127" customFormat="1" spans="1:16">
      <c r="A127" s="1"/>
      <c r="B127" s="17"/>
      <c r="C127" s="1"/>
      <c r="D127" s="2"/>
      <c r="E127" s="18"/>
      <c r="F127" s="1"/>
      <c r="G127" s="1"/>
      <c r="H127" s="1"/>
      <c r="I127" s="1"/>
      <c r="J127" s="18"/>
      <c r="K127" s="18"/>
      <c r="L127" s="2"/>
      <c r="M127" s="20"/>
      <c r="N127" s="2"/>
      <c r="O127" s="20"/>
      <c r="P127" s="14"/>
    </row>
    <row r="128" customFormat="1" spans="1:16">
      <c r="A128" s="1"/>
      <c r="B128" s="17"/>
      <c r="C128" s="1"/>
      <c r="D128" s="2"/>
      <c r="E128" s="18"/>
      <c r="F128" s="1"/>
      <c r="G128" s="1"/>
      <c r="H128" s="1"/>
      <c r="I128" s="1"/>
      <c r="J128" s="18"/>
      <c r="K128" s="18"/>
      <c r="L128" s="2"/>
      <c r="M128" s="18"/>
      <c r="N128" s="2"/>
      <c r="O128" s="18"/>
      <c r="P128" s="14"/>
    </row>
    <row r="129" customFormat="1" spans="1:16">
      <c r="A129" s="1"/>
      <c r="B129" s="17"/>
      <c r="C129" s="1"/>
      <c r="D129" s="2"/>
      <c r="E129" s="18"/>
      <c r="F129" s="1"/>
      <c r="G129" s="1"/>
      <c r="H129" s="1"/>
      <c r="I129" s="1"/>
      <c r="J129" s="18"/>
      <c r="K129" s="18"/>
      <c r="L129" s="2"/>
      <c r="M129" s="16"/>
      <c r="N129" s="2"/>
      <c r="O129" s="16"/>
      <c r="P129" s="14"/>
    </row>
    <row r="130" customFormat="1" spans="1:16">
      <c r="A130" s="1"/>
      <c r="B130" s="17"/>
      <c r="C130" s="1"/>
      <c r="D130" s="2"/>
      <c r="E130" s="18"/>
      <c r="F130" s="1"/>
      <c r="G130" s="1"/>
      <c r="H130" s="1"/>
      <c r="I130" s="1"/>
      <c r="J130" s="18"/>
      <c r="K130" s="18"/>
      <c r="L130" s="2"/>
      <c r="M130" s="18"/>
      <c r="N130" s="2"/>
      <c r="O130" s="18"/>
      <c r="P130" s="14"/>
    </row>
    <row r="131" customFormat="1" ht="17.6" spans="1:16">
      <c r="A131" s="1"/>
      <c r="B131" s="17"/>
      <c r="C131" s="1"/>
      <c r="D131" s="2"/>
      <c r="E131" s="18"/>
      <c r="F131" s="1"/>
      <c r="G131" s="1"/>
      <c r="H131" s="1"/>
      <c r="I131" s="1"/>
      <c r="J131" s="18"/>
      <c r="K131" s="18"/>
      <c r="L131" s="2"/>
      <c r="M131" s="18"/>
      <c r="N131" s="24"/>
      <c r="O131" s="18"/>
      <c r="P131" s="14"/>
    </row>
    <row r="132" customFormat="1" spans="1:16">
      <c r="A132" s="1"/>
      <c r="B132" s="17"/>
      <c r="C132" s="1"/>
      <c r="D132" s="2"/>
      <c r="E132" s="18"/>
      <c r="F132" s="1"/>
      <c r="G132" s="1"/>
      <c r="H132" s="1"/>
      <c r="I132" s="1"/>
      <c r="J132" s="18"/>
      <c r="K132" s="18"/>
      <c r="L132" s="2"/>
      <c r="M132" s="18"/>
      <c r="N132" s="2"/>
      <c r="O132" s="18"/>
      <c r="P132" s="14"/>
    </row>
    <row r="133" customFormat="1" spans="1:16">
      <c r="A133" s="1"/>
      <c r="B133" s="17"/>
      <c r="C133" s="1"/>
      <c r="D133" s="2"/>
      <c r="E133" s="18"/>
      <c r="F133" s="1"/>
      <c r="G133" s="1"/>
      <c r="H133" s="1"/>
      <c r="I133" s="2"/>
      <c r="J133" s="18"/>
      <c r="K133" s="18"/>
      <c r="L133" s="2"/>
      <c r="M133" s="18"/>
      <c r="N133" s="2"/>
      <c r="O133" s="18"/>
      <c r="P133" s="14"/>
    </row>
    <row r="134" customFormat="1" spans="1:16">
      <c r="A134" s="1"/>
      <c r="B134" s="17"/>
      <c r="C134" s="1"/>
      <c r="D134" s="2"/>
      <c r="E134" s="18"/>
      <c r="F134" s="1"/>
      <c r="G134" s="1"/>
      <c r="H134" s="1"/>
      <c r="I134" s="2"/>
      <c r="J134" s="18"/>
      <c r="K134" s="18"/>
      <c r="L134" s="2"/>
      <c r="M134" s="18"/>
      <c r="N134" s="2"/>
      <c r="O134" s="18"/>
      <c r="P134" s="14"/>
    </row>
    <row r="135" customFormat="1" spans="1:16">
      <c r="A135" s="1"/>
      <c r="B135" s="17"/>
      <c r="C135" s="1"/>
      <c r="D135" s="1"/>
      <c r="E135" s="18"/>
      <c r="F135" s="1"/>
      <c r="G135" s="1"/>
      <c r="H135" s="1"/>
      <c r="I135" s="2"/>
      <c r="J135" s="18"/>
      <c r="K135" s="18"/>
      <c r="L135" s="2"/>
      <c r="M135" s="18"/>
      <c r="N135" s="2"/>
      <c r="O135" s="25"/>
      <c r="P135" s="14"/>
    </row>
    <row r="136" customFormat="1" spans="1:16">
      <c r="A136" s="1"/>
      <c r="B136" s="17"/>
      <c r="C136" s="1"/>
      <c r="D136" s="2"/>
      <c r="E136" s="18"/>
      <c r="F136" s="1"/>
      <c r="G136" s="1"/>
      <c r="H136" s="1"/>
      <c r="I136" s="2"/>
      <c r="J136" s="18"/>
      <c r="K136" s="18"/>
      <c r="L136" s="2"/>
      <c r="M136" s="18"/>
      <c r="N136" s="2"/>
      <c r="O136" s="18"/>
      <c r="P136" s="14"/>
    </row>
    <row r="137" customFormat="1" spans="1:16">
      <c r="A137" s="1"/>
      <c r="B137" s="17"/>
      <c r="C137" s="1"/>
      <c r="D137" s="2"/>
      <c r="E137" s="18"/>
      <c r="F137" s="1"/>
      <c r="G137" s="1"/>
      <c r="H137" s="1"/>
      <c r="I137" s="2"/>
      <c r="J137" s="18"/>
      <c r="K137" s="18"/>
      <c r="L137" s="2"/>
      <c r="M137" s="18"/>
      <c r="N137" s="2"/>
      <c r="O137" s="18"/>
      <c r="P137" s="14"/>
    </row>
    <row r="138" customFormat="1" spans="1:16">
      <c r="A138" s="1"/>
      <c r="B138" s="17"/>
      <c r="C138" s="1"/>
      <c r="D138" s="2"/>
      <c r="E138" s="18"/>
      <c r="F138" s="1"/>
      <c r="G138" s="1"/>
      <c r="H138" s="1"/>
      <c r="I138" s="2"/>
      <c r="J138" s="18"/>
      <c r="K138" s="18"/>
      <c r="L138" s="2"/>
      <c r="M138" s="18"/>
      <c r="N138" s="2"/>
      <c r="O138" s="18"/>
      <c r="P138" s="14"/>
    </row>
    <row r="139" customFormat="1" spans="1:16">
      <c r="A139" s="1"/>
      <c r="B139" s="17"/>
      <c r="C139" s="1"/>
      <c r="D139" s="2"/>
      <c r="E139" s="18"/>
      <c r="F139" s="1"/>
      <c r="G139" s="1"/>
      <c r="H139" s="1"/>
      <c r="I139" s="2"/>
      <c r="J139" s="18"/>
      <c r="K139" s="18"/>
      <c r="L139" s="2"/>
      <c r="M139" s="18"/>
      <c r="N139" s="2"/>
      <c r="O139" s="18"/>
      <c r="P139" s="14"/>
    </row>
    <row r="140" customFormat="1" spans="1:16">
      <c r="A140" s="1"/>
      <c r="B140" s="17"/>
      <c r="C140" s="1"/>
      <c r="D140" s="2"/>
      <c r="E140" s="18"/>
      <c r="F140" s="1"/>
      <c r="G140" s="1"/>
      <c r="H140" s="1"/>
      <c r="I140" s="2"/>
      <c r="J140" s="18"/>
      <c r="K140" s="18"/>
      <c r="L140" s="2"/>
      <c r="M140" s="18"/>
      <c r="N140" s="2"/>
      <c r="O140" s="18"/>
      <c r="P140" s="14"/>
    </row>
    <row r="141" customFormat="1" spans="1:16">
      <c r="A141" s="1"/>
      <c r="B141" s="17"/>
      <c r="C141" s="1"/>
      <c r="D141" s="2"/>
      <c r="E141" s="20"/>
      <c r="F141" s="1"/>
      <c r="G141" s="1"/>
      <c r="H141" s="1"/>
      <c r="I141" s="2"/>
      <c r="J141" s="18"/>
      <c r="K141" s="18"/>
      <c r="L141" s="2"/>
      <c r="M141" s="18"/>
      <c r="N141" s="2"/>
      <c r="O141" s="18"/>
      <c r="P141" s="14"/>
    </row>
    <row r="142" customFormat="1" spans="1:16">
      <c r="A142" s="1"/>
      <c r="B142" s="17"/>
      <c r="C142" s="1"/>
      <c r="D142" s="2"/>
      <c r="E142" s="18"/>
      <c r="F142" s="1"/>
      <c r="G142" s="1"/>
      <c r="H142" s="1"/>
      <c r="I142" s="2"/>
      <c r="J142" s="18"/>
      <c r="K142" s="18"/>
      <c r="L142" s="2"/>
      <c r="M142" s="18"/>
      <c r="N142" s="2"/>
      <c r="O142" s="18"/>
      <c r="P142" s="14"/>
    </row>
    <row r="143" customFormat="1" spans="1:16">
      <c r="A143" s="1"/>
      <c r="B143" s="17"/>
      <c r="C143" s="1"/>
      <c r="D143" s="2"/>
      <c r="E143" s="18"/>
      <c r="F143" s="1"/>
      <c r="G143" s="1"/>
      <c r="H143" s="1"/>
      <c r="I143" s="2"/>
      <c r="J143" s="18"/>
      <c r="K143" s="18"/>
      <c r="L143" s="2"/>
      <c r="M143" s="22"/>
      <c r="N143" s="2"/>
      <c r="O143" s="20"/>
      <c r="P143" s="14"/>
    </row>
    <row r="144" customFormat="1" ht="56" customHeight="1" spans="1:16">
      <c r="A144" s="1"/>
      <c r="B144" s="17"/>
      <c r="C144" s="1"/>
      <c r="D144" s="2"/>
      <c r="E144" s="18"/>
      <c r="F144" s="1"/>
      <c r="G144" s="1"/>
      <c r="H144" s="1"/>
      <c r="I144" s="2"/>
      <c r="J144" s="18"/>
      <c r="K144" s="18"/>
      <c r="L144" s="2"/>
      <c r="N144" s="2"/>
      <c r="O144" s="18"/>
      <c r="P144" s="14"/>
    </row>
    <row r="145" customFormat="1" spans="1:16">
      <c r="A145" s="1"/>
      <c r="B145" s="17"/>
      <c r="C145" s="1"/>
      <c r="D145" s="2"/>
      <c r="E145" s="18"/>
      <c r="F145" s="1"/>
      <c r="G145" s="1"/>
      <c r="H145" s="1"/>
      <c r="I145" s="2"/>
      <c r="J145" s="18"/>
      <c r="K145" s="18"/>
      <c r="L145" s="2"/>
      <c r="N145" s="2"/>
      <c r="O145" s="18"/>
      <c r="P145" s="14"/>
    </row>
    <row r="146" customFormat="1" spans="1:16">
      <c r="A146" s="1"/>
      <c r="B146" s="17"/>
      <c r="C146" s="1"/>
      <c r="D146" s="2"/>
      <c r="E146" s="18"/>
      <c r="F146" s="1"/>
      <c r="G146" s="1"/>
      <c r="H146" s="1"/>
      <c r="I146" s="2"/>
      <c r="J146" s="18"/>
      <c r="K146" s="18"/>
      <c r="L146" s="2"/>
      <c r="M146" s="22"/>
      <c r="N146" s="2"/>
      <c r="O146" s="20"/>
      <c r="P146" s="14"/>
    </row>
    <row r="147" customFormat="1" spans="1:16">
      <c r="A147" s="1"/>
      <c r="B147" s="17"/>
      <c r="C147" s="1"/>
      <c r="D147" s="2"/>
      <c r="E147" s="18"/>
      <c r="F147" s="1"/>
      <c r="G147" s="1"/>
      <c r="H147" s="1"/>
      <c r="I147" s="2"/>
      <c r="J147" s="18"/>
      <c r="K147" s="18"/>
      <c r="L147" s="2"/>
      <c r="N147" s="2"/>
      <c r="O147" s="18"/>
      <c r="P147" s="14"/>
    </row>
    <row r="148" customFormat="1" spans="1:16">
      <c r="A148" s="1"/>
      <c r="B148" s="17"/>
      <c r="C148" s="1"/>
      <c r="D148" s="2"/>
      <c r="E148" s="18"/>
      <c r="F148" s="1"/>
      <c r="G148" s="1"/>
      <c r="H148" s="1"/>
      <c r="I148" s="2"/>
      <c r="J148" s="18"/>
      <c r="K148" s="18"/>
      <c r="L148" s="2"/>
      <c r="N148" s="2"/>
      <c r="O148" s="20"/>
      <c r="P148" s="14"/>
    </row>
    <row r="149" customFormat="1" spans="1:16">
      <c r="A149" s="1"/>
      <c r="B149" s="17"/>
      <c r="C149" s="1"/>
      <c r="D149" s="2"/>
      <c r="E149" s="18"/>
      <c r="F149" s="1"/>
      <c r="G149" s="1"/>
      <c r="H149" s="1"/>
      <c r="I149" s="2"/>
      <c r="J149" s="18"/>
      <c r="K149" s="18"/>
      <c r="L149" s="2"/>
      <c r="N149" s="2"/>
      <c r="O149" s="18"/>
      <c r="P149" s="14"/>
    </row>
    <row r="150" customFormat="1" spans="1:16">
      <c r="A150" s="1"/>
      <c r="B150" s="17"/>
      <c r="C150" s="1"/>
      <c r="D150" s="2"/>
      <c r="E150" s="20"/>
      <c r="F150" s="1"/>
      <c r="G150" s="1"/>
      <c r="H150" s="1"/>
      <c r="I150" s="2"/>
      <c r="J150" s="18"/>
      <c r="K150" s="18"/>
      <c r="L150" s="2"/>
      <c r="M150" s="25"/>
      <c r="N150" s="2"/>
      <c r="O150" s="20"/>
      <c r="P150" s="14"/>
    </row>
    <row r="151" customFormat="1" spans="2:16">
      <c r="B151" s="18"/>
      <c r="C151" s="1"/>
      <c r="D151" s="2"/>
      <c r="E151" s="18"/>
      <c r="F151" s="1"/>
      <c r="G151" s="1"/>
      <c r="H151" s="1"/>
      <c r="I151" s="2"/>
      <c r="J151" s="18"/>
      <c r="K151" s="18"/>
      <c r="L151" s="2"/>
      <c r="N151" s="2"/>
      <c r="O151" s="18"/>
      <c r="P151" s="14"/>
    </row>
    <row r="152" customFormat="1" spans="3:16">
      <c r="C152" s="1"/>
      <c r="I152" s="2"/>
      <c r="N152" s="2"/>
      <c r="P152" s="14"/>
    </row>
    <row r="153" customFormat="1" spans="3:16">
      <c r="C153" s="1"/>
      <c r="I153" s="2"/>
      <c r="N153" s="2"/>
      <c r="P153" s="14"/>
    </row>
    <row r="154" customFormat="1" spans="3:16">
      <c r="C154" s="1"/>
      <c r="I154" s="2"/>
      <c r="N154" s="2"/>
      <c r="P154" s="14"/>
    </row>
    <row r="155" customFormat="1" spans="3:16">
      <c r="C155" s="1"/>
      <c r="I155" s="2"/>
      <c r="N155" s="2"/>
      <c r="P155" s="14"/>
    </row>
    <row r="156" customFormat="1" spans="3:16">
      <c r="C156" s="1"/>
      <c r="I156" s="2"/>
      <c r="N156" s="2"/>
      <c r="P156" s="14"/>
    </row>
    <row r="157" customFormat="1" spans="3:16">
      <c r="C157" s="1"/>
      <c r="I157" s="2"/>
      <c r="N157" s="2"/>
      <c r="P157" s="14"/>
    </row>
    <row r="158" customFormat="1" spans="3:16">
      <c r="C158" s="1"/>
      <c r="I158" s="2"/>
      <c r="N158" s="2"/>
      <c r="P158" s="14"/>
    </row>
    <row r="159" customFormat="1" spans="3:16">
      <c r="C159" s="1"/>
      <c r="I159" s="2"/>
      <c r="P159" s="14"/>
    </row>
    <row r="160" customFormat="1" spans="3:16">
      <c r="C160" s="1"/>
      <c r="I160" s="2"/>
      <c r="P160" s="3"/>
    </row>
    <row r="161" customFormat="1" spans="3:16">
      <c r="C161" s="1"/>
      <c r="I161" s="2"/>
      <c r="P161" s="3"/>
    </row>
    <row r="162" customFormat="1" spans="3:16">
      <c r="C162" s="1"/>
      <c r="I162" s="2"/>
      <c r="P162" s="3"/>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Yanni</cp:lastModifiedBy>
  <dcterms:created xsi:type="dcterms:W3CDTF">2023-05-13T03:15:00Z</dcterms:created>
  <dcterms:modified xsi:type="dcterms:W3CDTF">2025-09-12T16:09:42Z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2052-12.1.22553.22553</vt:lpwstr>
  </property>
  <property fmtid="{D5CDD505-2E9C-101B-9397-08002B2CF9AE}" pid="3" name="ICV">
    <vt:lpwstr>B81856931BA6460DBB167CA23B016F6C_13</vt:lpwstr>
  </property>
  <property fmtid="{D5CDD505-2E9C-101B-9397-08002B2CF9AE}" pid="4" name="KSOReadingLayout">
    <vt:bool>false</vt:bool>
  </property>
</Properties>
</file>